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buckhold/Documents/Project Z/"/>
    </mc:Choice>
  </mc:AlternateContent>
  <xr:revisionPtr revIDLastSave="0" documentId="8_{DF9860FC-06BF-5D45-A8F7-BF7BE0BC7AFF}" xr6:coauthVersionLast="47" xr6:coauthVersionMax="47" xr10:uidLastSave="{00000000-0000-0000-0000-000000000000}"/>
  <bookViews>
    <workbookView xWindow="3260" yWindow="2260" windowWidth="28040" windowHeight="17180" xr2:uid="{18E1A4EB-B131-AD42-9F5D-1289464F08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7" i="1" l="1"/>
  <c r="S46" i="1"/>
  <c r="O48" i="1"/>
  <c r="O47" i="1"/>
  <c r="O23" i="1"/>
  <c r="O22" i="1"/>
  <c r="O43" i="1"/>
  <c r="N43" i="1"/>
  <c r="M43" i="1"/>
  <c r="P43" i="1" s="1"/>
  <c r="O42" i="1"/>
  <c r="N42" i="1"/>
  <c r="M42" i="1"/>
  <c r="P42" i="1" s="1"/>
  <c r="O41" i="1"/>
  <c r="N41" i="1"/>
  <c r="M41" i="1"/>
  <c r="P41" i="1" s="1"/>
  <c r="P40" i="1"/>
  <c r="O40" i="1"/>
  <c r="N40" i="1"/>
  <c r="M40" i="1"/>
  <c r="O39" i="1"/>
  <c r="N39" i="1"/>
  <c r="M39" i="1"/>
  <c r="P39" i="1" s="1"/>
  <c r="O38" i="1"/>
  <c r="N38" i="1"/>
  <c r="M38" i="1"/>
  <c r="P38" i="1" s="1"/>
  <c r="O37" i="1"/>
  <c r="N37" i="1"/>
  <c r="M37" i="1"/>
  <c r="P37" i="1" s="1"/>
  <c r="O36" i="1"/>
  <c r="N36" i="1"/>
  <c r="M36" i="1"/>
  <c r="P36" i="1" s="1"/>
  <c r="O35" i="1"/>
  <c r="N35" i="1"/>
  <c r="M35" i="1"/>
  <c r="P35" i="1" s="1"/>
  <c r="O34" i="1"/>
  <c r="N34" i="1"/>
  <c r="M34" i="1"/>
  <c r="P34" i="1" s="1"/>
  <c r="P33" i="1"/>
  <c r="O33" i="1"/>
  <c r="N33" i="1"/>
  <c r="M33" i="1"/>
  <c r="O32" i="1"/>
  <c r="N32" i="1"/>
  <c r="M32" i="1"/>
  <c r="P32" i="1" s="1"/>
  <c r="O31" i="1"/>
  <c r="N31" i="1"/>
  <c r="M31" i="1"/>
  <c r="P31" i="1" s="1"/>
  <c r="O19" i="1"/>
  <c r="N19" i="1"/>
  <c r="M19" i="1"/>
  <c r="P19" i="1" s="1"/>
  <c r="O18" i="1"/>
  <c r="N18" i="1"/>
  <c r="M18" i="1"/>
  <c r="P18" i="1" s="1"/>
  <c r="O17" i="1"/>
  <c r="N17" i="1"/>
  <c r="M17" i="1"/>
  <c r="P17" i="1" s="1"/>
  <c r="P16" i="1"/>
  <c r="O16" i="1"/>
  <c r="N16" i="1"/>
  <c r="M16" i="1"/>
  <c r="O15" i="1"/>
  <c r="N15" i="1"/>
  <c r="M15" i="1"/>
  <c r="P15" i="1" s="1"/>
  <c r="O14" i="1"/>
  <c r="N14" i="1"/>
  <c r="M14" i="1"/>
  <c r="P14" i="1" s="1"/>
  <c r="O13" i="1"/>
  <c r="N13" i="1"/>
  <c r="M13" i="1"/>
  <c r="P13" i="1" s="1"/>
  <c r="O12" i="1"/>
  <c r="N12" i="1"/>
  <c r="M12" i="1"/>
  <c r="P12" i="1" s="1"/>
  <c r="O11" i="1"/>
  <c r="N11" i="1"/>
  <c r="M11" i="1"/>
  <c r="P11" i="1" s="1"/>
  <c r="O10" i="1"/>
  <c r="N10" i="1"/>
  <c r="M10" i="1"/>
  <c r="P10" i="1" s="1"/>
  <c r="P9" i="1"/>
  <c r="O9" i="1"/>
  <c r="N9" i="1"/>
  <c r="M9" i="1"/>
  <c r="O8" i="1"/>
  <c r="N8" i="1"/>
  <c r="M8" i="1"/>
  <c r="P8" i="1" s="1"/>
  <c r="O7" i="1"/>
  <c r="N7" i="1"/>
  <c r="M7" i="1"/>
  <c r="P7" i="1" s="1"/>
  <c r="P6" i="1"/>
  <c r="O6" i="1"/>
  <c r="N6" i="1"/>
  <c r="M6" i="1"/>
  <c r="K49" i="1"/>
  <c r="J49" i="1"/>
  <c r="I49" i="1"/>
  <c r="H49" i="1"/>
  <c r="G49" i="1"/>
  <c r="F49" i="1"/>
  <c r="E49" i="1"/>
  <c r="D49" i="1"/>
  <c r="C49" i="1"/>
  <c r="B49" i="1"/>
  <c r="K48" i="1"/>
  <c r="J48" i="1"/>
  <c r="M48" i="1" s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M24" i="1"/>
  <c r="M23" i="1"/>
  <c r="M22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B24" i="1"/>
  <c r="B22" i="1"/>
  <c r="B23" i="1"/>
  <c r="M49" i="1" l="1"/>
  <c r="M47" i="1"/>
</calcChain>
</file>

<file path=xl/sharedStrings.xml><?xml version="1.0" encoding="utf-8"?>
<sst xmlns="http://schemas.openxmlformats.org/spreadsheetml/2006/main" count="336" uniqueCount="38">
  <si>
    <t>Mon AM</t>
  </si>
  <si>
    <t>Mon PM</t>
  </si>
  <si>
    <t>Tue AM</t>
  </si>
  <si>
    <t>Tue PM</t>
  </si>
  <si>
    <t>Wed AM</t>
  </si>
  <si>
    <t>Wed PM</t>
  </si>
  <si>
    <t>Thur AM </t>
  </si>
  <si>
    <t>Thur PM</t>
  </si>
  <si>
    <t>Fri AM</t>
  </si>
  <si>
    <t>Fri PM</t>
  </si>
  <si>
    <t>Resident</t>
  </si>
  <si>
    <t>A</t>
  </si>
  <si>
    <t>Other</t>
  </si>
  <si>
    <t>VA</t>
  </si>
  <si>
    <t>CSM</t>
  </si>
  <si>
    <t>B</t>
  </si>
  <si>
    <t>C</t>
  </si>
  <si>
    <t>D</t>
  </si>
  <si>
    <t>E</t>
  </si>
  <si>
    <t>F</t>
  </si>
  <si>
    <t>G</t>
  </si>
  <si>
    <t>H </t>
  </si>
  <si>
    <t>I </t>
  </si>
  <si>
    <t>J</t>
  </si>
  <si>
    <t>K</t>
  </si>
  <si>
    <t>L</t>
  </si>
  <si>
    <t>M</t>
  </si>
  <si>
    <t>N</t>
  </si>
  <si>
    <t xml:space="preserve">Test 1:  14 residents (4 of 6 weeks) </t>
  </si>
  <si>
    <t>VA Slots</t>
  </si>
  <si>
    <t>CSM Slots</t>
  </si>
  <si>
    <t>"Other"</t>
  </si>
  <si>
    <t>Weekly Totals:</t>
  </si>
  <si>
    <t xml:space="preserve">Test 2: 13 residents (2 of 6  weeks) </t>
  </si>
  <si>
    <t>Total Clinic</t>
  </si>
  <si>
    <t>Yearly</t>
  </si>
  <si>
    <t>Total VA:</t>
  </si>
  <si>
    <t>Total CSM: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</si>
</sst>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sz val="12"/>
      <color rgb="FF000000"/>
      <name val="Aptos"/>
    </font>
    <font>
      <b/>
      <sz val="12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50F1-E0E7-2746-8381-2D4B4F98B035}">
  <dimension ref="A2:X49"/>
  <sheetViews>
    <sheetView tabSelected="1" topLeftCell="A8" workbookViewId="0">
      <selection activeCell="R48" sqref="R48"/>
    </sheetView>
  </sheetViews>
  <sheetFormatPr baseColWidth="10" defaultRowHeight="16"/>
  <sheetData>
    <row r="2" spans="1:24">
      <c r="A2" t="s">
        <v>28</v>
      </c>
    </row>
    <row r="4" spans="1:2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s="1" t="s">
        <v>13</v>
      </c>
      <c r="N4" s="1" t="s">
        <v>14</v>
      </c>
      <c r="O4" s="1" t="s">
        <v>12</v>
      </c>
      <c r="P4" s="1" t="s">
        <v>34</v>
      </c>
      <c r="Q4" s="1"/>
      <c r="R4" s="1"/>
      <c r="S4" s="1"/>
      <c r="T4" s="1"/>
      <c r="U4" s="1"/>
      <c r="V4" s="1"/>
      <c r="W4" s="1"/>
      <c r="X4" s="1"/>
    </row>
    <row r="5" spans="1:24">
      <c r="A5" s="1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N5" s="1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1" t="s">
        <v>11</v>
      </c>
      <c r="B6" s="1" t="s">
        <v>12</v>
      </c>
      <c r="C6" s="1" t="s">
        <v>13</v>
      </c>
      <c r="D6" s="1" t="s">
        <v>14</v>
      </c>
      <c r="E6" s="1" t="s">
        <v>14</v>
      </c>
      <c r="F6" s="1" t="s">
        <v>12</v>
      </c>
      <c r="G6" s="1" t="s">
        <v>14</v>
      </c>
      <c r="H6" s="3" t="s">
        <v>14</v>
      </c>
      <c r="I6" s="1" t="s">
        <v>13</v>
      </c>
      <c r="J6" s="1" t="s">
        <v>14</v>
      </c>
      <c r="K6" s="1" t="s">
        <v>12</v>
      </c>
      <c r="M6">
        <f>COUNTIF(B6:K6, "VA")</f>
        <v>2</v>
      </c>
      <c r="N6" s="1">
        <f>COUNTIF(B6:K6, "CSM")</f>
        <v>5</v>
      </c>
      <c r="O6" s="1">
        <f>COUNTIF(B6:K6, "Other")</f>
        <v>3</v>
      </c>
      <c r="P6" s="1">
        <f>M6+N6</f>
        <v>7</v>
      </c>
      <c r="Q6" s="1"/>
      <c r="R6" s="1"/>
      <c r="S6" s="1"/>
      <c r="T6" s="1"/>
      <c r="U6" s="3"/>
      <c r="V6" s="1"/>
      <c r="W6" s="1"/>
      <c r="X6" s="1"/>
    </row>
    <row r="7" spans="1:24">
      <c r="A7" s="1" t="s">
        <v>15</v>
      </c>
      <c r="B7" s="1" t="s">
        <v>12</v>
      </c>
      <c r="C7" s="1" t="s">
        <v>13</v>
      </c>
      <c r="D7" s="1" t="s">
        <v>14</v>
      </c>
      <c r="E7" s="1" t="s">
        <v>14</v>
      </c>
      <c r="F7" s="1" t="s">
        <v>12</v>
      </c>
      <c r="G7" s="1" t="s">
        <v>14</v>
      </c>
      <c r="H7" s="3" t="s">
        <v>14</v>
      </c>
      <c r="I7" s="1" t="s">
        <v>13</v>
      </c>
      <c r="J7" s="1" t="s">
        <v>14</v>
      </c>
      <c r="K7" s="1" t="s">
        <v>12</v>
      </c>
      <c r="M7">
        <f t="shared" ref="M7:M19" si="0">COUNTIF(B7:K7, "VA")</f>
        <v>2</v>
      </c>
      <c r="N7" s="1">
        <f t="shared" ref="N7:N19" si="1">COUNTIF(B7:K7, "CSM")</f>
        <v>5</v>
      </c>
      <c r="O7" s="1">
        <f t="shared" ref="O7:O19" si="2">COUNTIF(B7:K7, "Other")</f>
        <v>3</v>
      </c>
      <c r="P7" s="1">
        <f t="shared" ref="P7:P19" si="3">M7+N7</f>
        <v>7</v>
      </c>
      <c r="Q7" s="1"/>
      <c r="R7" s="1"/>
      <c r="S7" s="1"/>
      <c r="T7" s="1"/>
      <c r="U7" s="3"/>
      <c r="V7" s="1"/>
      <c r="W7" s="1"/>
      <c r="X7" s="1"/>
    </row>
    <row r="8" spans="1:24">
      <c r="A8" s="1" t="s">
        <v>16</v>
      </c>
      <c r="B8" s="1" t="s">
        <v>12</v>
      </c>
      <c r="C8" s="1" t="s">
        <v>13</v>
      </c>
      <c r="D8" s="1" t="s">
        <v>14</v>
      </c>
      <c r="E8" s="1" t="s">
        <v>14</v>
      </c>
      <c r="F8" s="1" t="s">
        <v>12</v>
      </c>
      <c r="G8" s="1" t="s">
        <v>14</v>
      </c>
      <c r="H8" s="3" t="s">
        <v>14</v>
      </c>
      <c r="I8" s="1" t="s">
        <v>13</v>
      </c>
      <c r="J8" s="1" t="s">
        <v>14</v>
      </c>
      <c r="K8" s="1" t="s">
        <v>12</v>
      </c>
      <c r="M8">
        <f t="shared" si="0"/>
        <v>2</v>
      </c>
      <c r="N8" s="1">
        <f t="shared" si="1"/>
        <v>5</v>
      </c>
      <c r="O8" s="1">
        <f t="shared" si="2"/>
        <v>3</v>
      </c>
      <c r="P8" s="1">
        <f t="shared" si="3"/>
        <v>7</v>
      </c>
      <c r="Q8" s="1"/>
      <c r="R8" s="1"/>
      <c r="S8" s="1"/>
      <c r="T8" s="1"/>
      <c r="U8" s="3"/>
      <c r="V8" s="1"/>
      <c r="W8" s="1"/>
      <c r="X8" s="1"/>
    </row>
    <row r="9" spans="1:24">
      <c r="A9" s="1" t="s">
        <v>17</v>
      </c>
      <c r="B9" s="1" t="s">
        <v>12</v>
      </c>
      <c r="C9" s="1" t="s">
        <v>13</v>
      </c>
      <c r="D9" s="1" t="s">
        <v>14</v>
      </c>
      <c r="E9" s="1" t="s">
        <v>14</v>
      </c>
      <c r="F9" s="1" t="s">
        <v>14</v>
      </c>
      <c r="G9" s="1" t="s">
        <v>14</v>
      </c>
      <c r="H9" s="3" t="s">
        <v>14</v>
      </c>
      <c r="I9" s="1" t="s">
        <v>13</v>
      </c>
      <c r="J9" s="1" t="s">
        <v>12</v>
      </c>
      <c r="K9" s="1" t="s">
        <v>12</v>
      </c>
      <c r="M9">
        <f t="shared" si="0"/>
        <v>2</v>
      </c>
      <c r="N9" s="1">
        <f t="shared" si="1"/>
        <v>5</v>
      </c>
      <c r="O9" s="1">
        <f t="shared" si="2"/>
        <v>3</v>
      </c>
      <c r="P9" s="1">
        <f t="shared" si="3"/>
        <v>7</v>
      </c>
      <c r="Q9" s="1"/>
      <c r="R9" s="1"/>
      <c r="S9" s="1"/>
      <c r="T9" s="1"/>
      <c r="U9" s="3"/>
      <c r="V9" s="1"/>
      <c r="W9" s="1"/>
      <c r="X9" s="1"/>
    </row>
    <row r="10" spans="1:24">
      <c r="A10" s="1" t="s">
        <v>18</v>
      </c>
      <c r="B10" s="1" t="s">
        <v>12</v>
      </c>
      <c r="C10" s="1" t="s">
        <v>13</v>
      </c>
      <c r="D10" s="1" t="s">
        <v>14</v>
      </c>
      <c r="E10" s="1" t="s">
        <v>13</v>
      </c>
      <c r="F10" s="1" t="s">
        <v>12</v>
      </c>
      <c r="G10" s="1" t="s">
        <v>14</v>
      </c>
      <c r="H10" s="1" t="s">
        <v>14</v>
      </c>
      <c r="I10" s="1" t="s">
        <v>14</v>
      </c>
      <c r="J10" s="3" t="s">
        <v>14</v>
      </c>
      <c r="K10" s="1" t="s">
        <v>12</v>
      </c>
      <c r="M10">
        <f t="shared" si="0"/>
        <v>2</v>
      </c>
      <c r="N10" s="1">
        <f t="shared" si="1"/>
        <v>5</v>
      </c>
      <c r="O10" s="1">
        <f t="shared" si="2"/>
        <v>3</v>
      </c>
      <c r="P10" s="1">
        <f t="shared" si="3"/>
        <v>7</v>
      </c>
      <c r="Q10" s="1"/>
      <c r="R10" s="1"/>
      <c r="S10" s="1"/>
      <c r="T10" s="1"/>
      <c r="U10" s="1"/>
      <c r="V10" s="1"/>
      <c r="W10" s="3"/>
      <c r="X10" s="1"/>
    </row>
    <row r="11" spans="1:24">
      <c r="A11" s="1" t="s">
        <v>19</v>
      </c>
      <c r="B11" s="1" t="s">
        <v>12</v>
      </c>
      <c r="C11" s="1" t="s">
        <v>13</v>
      </c>
      <c r="D11" s="1" t="s">
        <v>14</v>
      </c>
      <c r="E11" s="1" t="s">
        <v>13</v>
      </c>
      <c r="F11" s="1" t="s">
        <v>12</v>
      </c>
      <c r="G11" s="1" t="s">
        <v>14</v>
      </c>
      <c r="H11" s="1" t="s">
        <v>14</v>
      </c>
      <c r="I11" s="1" t="s">
        <v>14</v>
      </c>
      <c r="J11" s="3" t="s">
        <v>14</v>
      </c>
      <c r="K11" s="1" t="s">
        <v>12</v>
      </c>
      <c r="M11">
        <f t="shared" si="0"/>
        <v>2</v>
      </c>
      <c r="N11" s="1">
        <f t="shared" si="1"/>
        <v>5</v>
      </c>
      <c r="O11" s="1">
        <f t="shared" si="2"/>
        <v>3</v>
      </c>
      <c r="P11" s="1">
        <f t="shared" si="3"/>
        <v>7</v>
      </c>
      <c r="Q11" s="1"/>
      <c r="R11" s="1"/>
      <c r="S11" s="1"/>
      <c r="T11" s="1"/>
      <c r="U11" s="1"/>
      <c r="V11" s="1"/>
      <c r="W11" s="3"/>
      <c r="X11" s="1"/>
    </row>
    <row r="12" spans="1:24">
      <c r="A12" s="1" t="s">
        <v>20</v>
      </c>
      <c r="B12" s="1" t="s">
        <v>12</v>
      </c>
      <c r="C12" s="1" t="s">
        <v>13</v>
      </c>
      <c r="D12" s="1" t="s">
        <v>14</v>
      </c>
      <c r="E12" s="1" t="s">
        <v>13</v>
      </c>
      <c r="F12" s="1" t="s">
        <v>12</v>
      </c>
      <c r="G12" s="1" t="s">
        <v>14</v>
      </c>
      <c r="H12" s="1" t="s">
        <v>14</v>
      </c>
      <c r="I12" s="1" t="s">
        <v>14</v>
      </c>
      <c r="J12" s="3" t="s">
        <v>14</v>
      </c>
      <c r="K12" s="1" t="s">
        <v>12</v>
      </c>
      <c r="M12">
        <f t="shared" si="0"/>
        <v>2</v>
      </c>
      <c r="N12" s="1">
        <f t="shared" si="1"/>
        <v>5</v>
      </c>
      <c r="O12" s="1">
        <f t="shared" si="2"/>
        <v>3</v>
      </c>
      <c r="P12" s="1">
        <f t="shared" si="3"/>
        <v>7</v>
      </c>
      <c r="Q12" s="1"/>
      <c r="R12" s="1"/>
      <c r="S12" s="1"/>
      <c r="T12" s="1"/>
      <c r="U12" s="1"/>
      <c r="V12" s="1"/>
      <c r="W12" s="3"/>
      <c r="X12" s="1"/>
    </row>
    <row r="13" spans="1:24">
      <c r="A13" s="1" t="s">
        <v>21</v>
      </c>
      <c r="B13" s="1" t="s">
        <v>12</v>
      </c>
      <c r="C13" s="1" t="s">
        <v>13</v>
      </c>
      <c r="D13" s="1" t="s">
        <v>14</v>
      </c>
      <c r="E13" s="1" t="s">
        <v>13</v>
      </c>
      <c r="F13" s="3" t="s">
        <v>14</v>
      </c>
      <c r="G13" s="1" t="s">
        <v>14</v>
      </c>
      <c r="H13" s="1" t="s">
        <v>12</v>
      </c>
      <c r="I13" s="1" t="s">
        <v>14</v>
      </c>
      <c r="J13" s="1" t="s">
        <v>14</v>
      </c>
      <c r="K13" s="1" t="s">
        <v>12</v>
      </c>
      <c r="M13">
        <f t="shared" si="0"/>
        <v>2</v>
      </c>
      <c r="N13" s="1">
        <f t="shared" si="1"/>
        <v>5</v>
      </c>
      <c r="O13" s="1">
        <f t="shared" si="2"/>
        <v>3</v>
      </c>
      <c r="P13" s="1">
        <f t="shared" si="3"/>
        <v>7</v>
      </c>
      <c r="Q13" s="1"/>
      <c r="R13" s="1"/>
      <c r="S13" s="3"/>
      <c r="T13" s="1"/>
      <c r="U13" s="1"/>
      <c r="V13" s="1"/>
      <c r="W13" s="1"/>
      <c r="X13" s="1"/>
    </row>
    <row r="14" spans="1:24">
      <c r="A14" s="1" t="s">
        <v>22</v>
      </c>
      <c r="B14" s="1" t="s">
        <v>12</v>
      </c>
      <c r="C14" s="1" t="s">
        <v>14</v>
      </c>
      <c r="D14" s="1" t="s">
        <v>12</v>
      </c>
      <c r="E14" s="1" t="s">
        <v>13</v>
      </c>
      <c r="F14" s="3" t="s">
        <v>14</v>
      </c>
      <c r="G14" s="1" t="s">
        <v>13</v>
      </c>
      <c r="H14" s="1" t="s">
        <v>14</v>
      </c>
      <c r="I14" s="1" t="s">
        <v>14</v>
      </c>
      <c r="J14" s="1" t="s">
        <v>14</v>
      </c>
      <c r="K14" s="1" t="s">
        <v>12</v>
      </c>
      <c r="M14">
        <f t="shared" si="0"/>
        <v>2</v>
      </c>
      <c r="N14" s="1">
        <f t="shared" si="1"/>
        <v>5</v>
      </c>
      <c r="O14" s="1">
        <f t="shared" si="2"/>
        <v>3</v>
      </c>
      <c r="P14" s="1">
        <f t="shared" si="3"/>
        <v>7</v>
      </c>
      <c r="Q14" s="1"/>
      <c r="R14" s="1"/>
      <c r="S14" s="3"/>
      <c r="T14" s="1"/>
      <c r="U14" s="1"/>
      <c r="V14" s="1"/>
      <c r="W14" s="1"/>
      <c r="X14" s="1"/>
    </row>
    <row r="15" spans="1:24">
      <c r="A15" s="1" t="s">
        <v>23</v>
      </c>
      <c r="B15" s="1" t="s">
        <v>12</v>
      </c>
      <c r="C15" s="1" t="s">
        <v>14</v>
      </c>
      <c r="D15" s="1" t="s">
        <v>12</v>
      </c>
      <c r="E15" s="1" t="s">
        <v>13</v>
      </c>
      <c r="F15" s="3" t="s">
        <v>14</v>
      </c>
      <c r="G15" s="1" t="s">
        <v>13</v>
      </c>
      <c r="H15" s="1" t="s">
        <v>14</v>
      </c>
      <c r="I15" s="1" t="s">
        <v>14</v>
      </c>
      <c r="J15" s="1" t="s">
        <v>14</v>
      </c>
      <c r="K15" s="1" t="s">
        <v>12</v>
      </c>
      <c r="M15">
        <f t="shared" si="0"/>
        <v>2</v>
      </c>
      <c r="N15" s="1">
        <f t="shared" si="1"/>
        <v>5</v>
      </c>
      <c r="O15" s="1">
        <f t="shared" si="2"/>
        <v>3</v>
      </c>
      <c r="P15" s="1">
        <f t="shared" si="3"/>
        <v>7</v>
      </c>
      <c r="Q15" s="1"/>
      <c r="R15" s="1"/>
      <c r="S15" s="3"/>
      <c r="T15" s="1"/>
      <c r="U15" s="1"/>
      <c r="V15" s="1"/>
      <c r="W15" s="1"/>
      <c r="X15" s="1"/>
    </row>
    <row r="16" spans="1:24">
      <c r="A16" s="1" t="s">
        <v>24</v>
      </c>
      <c r="B16" s="1" t="s">
        <v>12</v>
      </c>
      <c r="C16" s="1" t="s">
        <v>14</v>
      </c>
      <c r="D16" s="1" t="s">
        <v>12</v>
      </c>
      <c r="E16" s="1" t="s">
        <v>13</v>
      </c>
      <c r="F16" s="3" t="s">
        <v>14</v>
      </c>
      <c r="G16" s="1" t="s">
        <v>13</v>
      </c>
      <c r="H16" s="1" t="s">
        <v>14</v>
      </c>
      <c r="I16" s="1" t="s">
        <v>14</v>
      </c>
      <c r="J16" s="1" t="s">
        <v>14</v>
      </c>
      <c r="K16" s="1" t="s">
        <v>12</v>
      </c>
      <c r="M16">
        <f t="shared" si="0"/>
        <v>2</v>
      </c>
      <c r="N16" s="1">
        <f t="shared" si="1"/>
        <v>5</v>
      </c>
      <c r="O16" s="1">
        <f t="shared" si="2"/>
        <v>3</v>
      </c>
      <c r="P16" s="1">
        <f t="shared" si="3"/>
        <v>7</v>
      </c>
      <c r="Q16" s="1"/>
      <c r="R16" s="1"/>
      <c r="S16" s="3"/>
      <c r="T16" s="1"/>
      <c r="U16" s="1"/>
      <c r="V16" s="1"/>
      <c r="W16" s="1"/>
      <c r="X16" s="1"/>
    </row>
    <row r="17" spans="1:24">
      <c r="A17" s="1" t="s">
        <v>25</v>
      </c>
      <c r="B17" s="1" t="s">
        <v>12</v>
      </c>
      <c r="C17" s="1" t="s">
        <v>14</v>
      </c>
      <c r="D17" s="3" t="s">
        <v>14</v>
      </c>
      <c r="E17" s="1" t="s">
        <v>13</v>
      </c>
      <c r="F17" s="1" t="s">
        <v>14</v>
      </c>
      <c r="G17" s="1" t="s">
        <v>13</v>
      </c>
      <c r="H17" s="1" t="s">
        <v>12</v>
      </c>
      <c r="I17" s="1" t="s">
        <v>13</v>
      </c>
      <c r="J17" s="1" t="s">
        <v>14</v>
      </c>
      <c r="K17" s="1" t="s">
        <v>12</v>
      </c>
      <c r="M17">
        <f t="shared" si="0"/>
        <v>3</v>
      </c>
      <c r="N17" s="1">
        <f t="shared" si="1"/>
        <v>4</v>
      </c>
      <c r="O17" s="1">
        <f t="shared" si="2"/>
        <v>3</v>
      </c>
      <c r="P17" s="1">
        <f t="shared" si="3"/>
        <v>7</v>
      </c>
      <c r="Q17" s="3"/>
      <c r="R17" s="1"/>
      <c r="S17" s="1"/>
      <c r="T17" s="1"/>
      <c r="U17" s="1"/>
      <c r="V17" s="1"/>
      <c r="W17" s="1"/>
      <c r="X17" s="1"/>
    </row>
    <row r="18" spans="1:24">
      <c r="A18" s="1" t="s">
        <v>26</v>
      </c>
      <c r="B18" s="1" t="s">
        <v>12</v>
      </c>
      <c r="C18" s="1" t="s">
        <v>14</v>
      </c>
      <c r="D18" s="3" t="s">
        <v>14</v>
      </c>
      <c r="E18" s="1" t="s">
        <v>14</v>
      </c>
      <c r="F18" s="1" t="s">
        <v>14</v>
      </c>
      <c r="G18" s="1" t="s">
        <v>13</v>
      </c>
      <c r="H18" s="1" t="s">
        <v>14</v>
      </c>
      <c r="I18" s="1" t="s">
        <v>13</v>
      </c>
      <c r="J18" s="1" t="s">
        <v>12</v>
      </c>
      <c r="K18" s="1" t="s">
        <v>12</v>
      </c>
      <c r="M18">
        <f t="shared" si="0"/>
        <v>2</v>
      </c>
      <c r="N18" s="1">
        <f t="shared" si="1"/>
        <v>5</v>
      </c>
      <c r="O18" s="1">
        <f t="shared" si="2"/>
        <v>3</v>
      </c>
      <c r="P18" s="1">
        <f t="shared" si="3"/>
        <v>7</v>
      </c>
      <c r="Q18" s="3"/>
      <c r="R18" s="1"/>
      <c r="S18" s="1"/>
      <c r="T18" s="1"/>
      <c r="U18" s="1"/>
      <c r="V18" s="1"/>
      <c r="W18" s="1"/>
      <c r="X18" s="1"/>
    </row>
    <row r="19" spans="1:24">
      <c r="A19" s="1" t="s">
        <v>27</v>
      </c>
      <c r="B19" s="1" t="s">
        <v>12</v>
      </c>
      <c r="C19" s="1" t="s">
        <v>14</v>
      </c>
      <c r="D19" s="3" t="s">
        <v>14</v>
      </c>
      <c r="E19" s="1" t="s">
        <v>14</v>
      </c>
      <c r="F19" s="1" t="s">
        <v>14</v>
      </c>
      <c r="G19" s="1" t="s">
        <v>13</v>
      </c>
      <c r="H19" s="1" t="s">
        <v>14</v>
      </c>
      <c r="I19" s="1" t="s">
        <v>13</v>
      </c>
      <c r="J19" s="1" t="s">
        <v>12</v>
      </c>
      <c r="K19" s="1" t="s">
        <v>12</v>
      </c>
      <c r="M19">
        <f t="shared" si="0"/>
        <v>2</v>
      </c>
      <c r="N19" s="1">
        <f t="shared" si="1"/>
        <v>5</v>
      </c>
      <c r="O19" s="1">
        <f t="shared" si="2"/>
        <v>3</v>
      </c>
      <c r="P19" s="1">
        <f t="shared" si="3"/>
        <v>7</v>
      </c>
      <c r="Q19" s="3"/>
      <c r="R19" s="1"/>
      <c r="S19" s="1"/>
      <c r="T19" s="1"/>
      <c r="U19" s="1"/>
      <c r="V19" s="1"/>
      <c r="W19" s="1"/>
      <c r="X19" s="1"/>
    </row>
    <row r="21" spans="1:24">
      <c r="M21" t="s">
        <v>32</v>
      </c>
      <c r="O21" t="s">
        <v>35</v>
      </c>
    </row>
    <row r="22" spans="1:24">
      <c r="A22" s="1" t="s">
        <v>29</v>
      </c>
      <c r="B22">
        <f>COUNTIF(B6:B19,"VA")</f>
        <v>0</v>
      </c>
      <c r="C22">
        <f t="shared" ref="C22:K22" si="4">COUNTIF(C6:C19,"VA")</f>
        <v>8</v>
      </c>
      <c r="D22">
        <f t="shared" si="4"/>
        <v>0</v>
      </c>
      <c r="E22">
        <f t="shared" si="4"/>
        <v>8</v>
      </c>
      <c r="F22">
        <f t="shared" si="4"/>
        <v>0</v>
      </c>
      <c r="G22">
        <f t="shared" si="4"/>
        <v>6</v>
      </c>
      <c r="H22">
        <f t="shared" si="4"/>
        <v>0</v>
      </c>
      <c r="I22">
        <f t="shared" si="4"/>
        <v>7</v>
      </c>
      <c r="J22">
        <f t="shared" si="4"/>
        <v>0</v>
      </c>
      <c r="K22">
        <f t="shared" si="4"/>
        <v>0</v>
      </c>
      <c r="M22">
        <f>SUM(B22:K22)</f>
        <v>29</v>
      </c>
      <c r="O22">
        <f>M22*32</f>
        <v>928</v>
      </c>
    </row>
    <row r="23" spans="1:24">
      <c r="A23" s="1" t="s">
        <v>30</v>
      </c>
      <c r="B23">
        <f>COUNTIF(B6:B19,"CSM")</f>
        <v>0</v>
      </c>
      <c r="C23">
        <f t="shared" ref="C23:K23" si="5">COUNTIF(C6:C19,"CSM")</f>
        <v>6</v>
      </c>
      <c r="D23">
        <f t="shared" si="5"/>
        <v>11</v>
      </c>
      <c r="E23">
        <f t="shared" si="5"/>
        <v>6</v>
      </c>
      <c r="F23">
        <f t="shared" si="5"/>
        <v>8</v>
      </c>
      <c r="G23">
        <f t="shared" si="5"/>
        <v>8</v>
      </c>
      <c r="H23">
        <f t="shared" si="5"/>
        <v>12</v>
      </c>
      <c r="I23">
        <f t="shared" si="5"/>
        <v>7</v>
      </c>
      <c r="J23">
        <f t="shared" si="5"/>
        <v>11</v>
      </c>
      <c r="K23">
        <f t="shared" si="5"/>
        <v>0</v>
      </c>
      <c r="M23">
        <f>SUM(B23:K23)</f>
        <v>69</v>
      </c>
      <c r="O23">
        <f>M23*32</f>
        <v>2208</v>
      </c>
    </row>
    <row r="24" spans="1:24">
      <c r="A24" s="1" t="s">
        <v>31</v>
      </c>
      <c r="B24">
        <f>COUNTIF(B6:B19,"Other")</f>
        <v>14</v>
      </c>
      <c r="C24">
        <f t="shared" ref="C24:K24" si="6">COUNTIF(C6:C19,"Other")</f>
        <v>0</v>
      </c>
      <c r="D24">
        <f t="shared" si="6"/>
        <v>3</v>
      </c>
      <c r="E24">
        <f t="shared" si="6"/>
        <v>0</v>
      </c>
      <c r="F24">
        <f t="shared" si="6"/>
        <v>6</v>
      </c>
      <c r="G24">
        <f t="shared" si="6"/>
        <v>0</v>
      </c>
      <c r="H24">
        <f t="shared" si="6"/>
        <v>2</v>
      </c>
      <c r="I24">
        <f t="shared" si="6"/>
        <v>0</v>
      </c>
      <c r="J24">
        <f t="shared" si="6"/>
        <v>3</v>
      </c>
      <c r="K24">
        <f t="shared" si="6"/>
        <v>14</v>
      </c>
      <c r="M24">
        <f>SUM(B24:K24)</f>
        <v>42</v>
      </c>
    </row>
    <row r="27" spans="1:24">
      <c r="A27" s="1" t="s">
        <v>33</v>
      </c>
    </row>
    <row r="29" spans="1:24"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  <c r="K29" s="1" t="s">
        <v>9</v>
      </c>
    </row>
    <row r="30" spans="1:24">
      <c r="A30" s="1" t="s">
        <v>10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4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14</v>
      </c>
      <c r="F31" s="1" t="s">
        <v>12</v>
      </c>
      <c r="G31" s="1" t="s">
        <v>14</v>
      </c>
      <c r="H31" s="3" t="s">
        <v>14</v>
      </c>
      <c r="I31" s="1" t="s">
        <v>13</v>
      </c>
      <c r="J31" s="1" t="s">
        <v>14</v>
      </c>
      <c r="K31" s="1" t="s">
        <v>12</v>
      </c>
      <c r="M31">
        <f>COUNTIF(B31:K31, "VA")</f>
        <v>2</v>
      </c>
      <c r="N31" s="1">
        <f>COUNTIF(B31:K31, "CSM")</f>
        <v>5</v>
      </c>
      <c r="O31" s="1">
        <f>COUNTIF(B31:K31, "Other")</f>
        <v>3</v>
      </c>
      <c r="P31" s="1">
        <f>M31+N31</f>
        <v>7</v>
      </c>
    </row>
    <row r="32" spans="1:24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14</v>
      </c>
      <c r="F32" s="1" t="s">
        <v>12</v>
      </c>
      <c r="G32" s="1" t="s">
        <v>14</v>
      </c>
      <c r="H32" s="3" t="s">
        <v>14</v>
      </c>
      <c r="I32" s="1" t="s">
        <v>13</v>
      </c>
      <c r="J32" s="1" t="s">
        <v>14</v>
      </c>
      <c r="K32" s="1" t="s">
        <v>12</v>
      </c>
      <c r="M32">
        <f t="shared" ref="M32:M43" si="7">COUNTIF(B32:K32, "VA")</f>
        <v>2</v>
      </c>
      <c r="N32" s="1">
        <f t="shared" ref="N32:N43" si="8">COUNTIF(B32:K32, "CSM")</f>
        <v>5</v>
      </c>
      <c r="O32" s="1">
        <f t="shared" ref="O32:O43" si="9">COUNTIF(B32:K32, "Other")</f>
        <v>3</v>
      </c>
      <c r="P32" s="1">
        <f t="shared" ref="P32:P43" si="10">M32+N32</f>
        <v>7</v>
      </c>
    </row>
    <row r="33" spans="1:19">
      <c r="A33" s="1" t="s">
        <v>16</v>
      </c>
      <c r="B33" s="1" t="s">
        <v>12</v>
      </c>
      <c r="C33" s="1" t="s">
        <v>13</v>
      </c>
      <c r="D33" s="1" t="s">
        <v>14</v>
      </c>
      <c r="E33" s="1" t="s">
        <v>14</v>
      </c>
      <c r="F33" s="1" t="s">
        <v>12</v>
      </c>
      <c r="G33" s="1" t="s">
        <v>14</v>
      </c>
      <c r="H33" s="3" t="s">
        <v>14</v>
      </c>
      <c r="I33" s="1" t="s">
        <v>13</v>
      </c>
      <c r="J33" s="1" t="s">
        <v>14</v>
      </c>
      <c r="K33" s="1" t="s">
        <v>12</v>
      </c>
      <c r="M33">
        <f t="shared" si="7"/>
        <v>2</v>
      </c>
      <c r="N33" s="1">
        <f t="shared" si="8"/>
        <v>5</v>
      </c>
      <c r="O33" s="1">
        <f t="shared" si="9"/>
        <v>3</v>
      </c>
      <c r="P33" s="1">
        <f t="shared" si="10"/>
        <v>7</v>
      </c>
    </row>
    <row r="34" spans="1:19">
      <c r="A34" s="1" t="s">
        <v>17</v>
      </c>
      <c r="B34" s="1" t="s">
        <v>12</v>
      </c>
      <c r="C34" s="1" t="s">
        <v>13</v>
      </c>
      <c r="D34" s="1" t="s">
        <v>14</v>
      </c>
      <c r="E34" s="1" t="s">
        <v>14</v>
      </c>
      <c r="F34" s="1" t="s">
        <v>14</v>
      </c>
      <c r="G34" s="1" t="s">
        <v>14</v>
      </c>
      <c r="H34" s="3" t="s">
        <v>14</v>
      </c>
      <c r="I34" s="1" t="s">
        <v>13</v>
      </c>
      <c r="J34" s="1" t="s">
        <v>12</v>
      </c>
      <c r="K34" s="1" t="s">
        <v>12</v>
      </c>
      <c r="M34">
        <f t="shared" si="7"/>
        <v>2</v>
      </c>
      <c r="N34" s="1">
        <f t="shared" si="8"/>
        <v>5</v>
      </c>
      <c r="O34" s="1">
        <f t="shared" si="9"/>
        <v>3</v>
      </c>
      <c r="P34" s="1">
        <f t="shared" si="10"/>
        <v>7</v>
      </c>
    </row>
    <row r="35" spans="1:19">
      <c r="A35" s="1" t="s">
        <v>18</v>
      </c>
      <c r="B35" s="1" t="s">
        <v>12</v>
      </c>
      <c r="C35" s="1" t="s">
        <v>13</v>
      </c>
      <c r="D35" s="1" t="s">
        <v>14</v>
      </c>
      <c r="E35" s="1" t="s">
        <v>13</v>
      </c>
      <c r="F35" s="1" t="s">
        <v>12</v>
      </c>
      <c r="G35" s="1" t="s">
        <v>14</v>
      </c>
      <c r="H35" s="1" t="s">
        <v>14</v>
      </c>
      <c r="I35" s="1" t="s">
        <v>14</v>
      </c>
      <c r="J35" s="3" t="s">
        <v>14</v>
      </c>
      <c r="K35" s="1" t="s">
        <v>12</v>
      </c>
      <c r="M35">
        <f t="shared" si="7"/>
        <v>2</v>
      </c>
      <c r="N35" s="1">
        <f t="shared" si="8"/>
        <v>5</v>
      </c>
      <c r="O35" s="1">
        <f t="shared" si="9"/>
        <v>3</v>
      </c>
      <c r="P35" s="1">
        <f t="shared" si="10"/>
        <v>7</v>
      </c>
    </row>
    <row r="36" spans="1:19">
      <c r="A36" s="1" t="s">
        <v>19</v>
      </c>
      <c r="B36" s="1" t="s">
        <v>12</v>
      </c>
      <c r="C36" s="1" t="s">
        <v>13</v>
      </c>
      <c r="D36" s="1" t="s">
        <v>14</v>
      </c>
      <c r="E36" s="1" t="s">
        <v>13</v>
      </c>
      <c r="F36" s="1" t="s">
        <v>12</v>
      </c>
      <c r="G36" s="1" t="s">
        <v>14</v>
      </c>
      <c r="H36" s="1" t="s">
        <v>14</v>
      </c>
      <c r="I36" s="1" t="s">
        <v>14</v>
      </c>
      <c r="J36" s="3" t="s">
        <v>14</v>
      </c>
      <c r="K36" s="1" t="s">
        <v>12</v>
      </c>
      <c r="M36">
        <f t="shared" si="7"/>
        <v>2</v>
      </c>
      <c r="N36" s="1">
        <f t="shared" si="8"/>
        <v>5</v>
      </c>
      <c r="O36" s="1">
        <f t="shared" si="9"/>
        <v>3</v>
      </c>
      <c r="P36" s="1">
        <f t="shared" si="10"/>
        <v>7</v>
      </c>
    </row>
    <row r="37" spans="1:19">
      <c r="A37" s="1" t="s">
        <v>20</v>
      </c>
      <c r="B37" s="1" t="s">
        <v>12</v>
      </c>
      <c r="C37" s="1" t="s">
        <v>13</v>
      </c>
      <c r="D37" s="1" t="s">
        <v>14</v>
      </c>
      <c r="E37" s="1" t="s">
        <v>13</v>
      </c>
      <c r="F37" s="1" t="s">
        <v>12</v>
      </c>
      <c r="G37" s="1" t="s">
        <v>14</v>
      </c>
      <c r="H37" s="1" t="s">
        <v>14</v>
      </c>
      <c r="I37" s="1" t="s">
        <v>14</v>
      </c>
      <c r="J37" s="3" t="s">
        <v>14</v>
      </c>
      <c r="K37" s="1" t="s">
        <v>12</v>
      </c>
      <c r="M37">
        <f t="shared" si="7"/>
        <v>2</v>
      </c>
      <c r="N37" s="1">
        <f t="shared" si="8"/>
        <v>5</v>
      </c>
      <c r="O37" s="1">
        <f t="shared" si="9"/>
        <v>3</v>
      </c>
      <c r="P37" s="1">
        <f t="shared" si="10"/>
        <v>7</v>
      </c>
    </row>
    <row r="38" spans="1:19">
      <c r="A38" s="1" t="s">
        <v>21</v>
      </c>
      <c r="B38" s="1" t="s">
        <v>12</v>
      </c>
      <c r="C38" s="1" t="s">
        <v>13</v>
      </c>
      <c r="D38" s="1" t="s">
        <v>14</v>
      </c>
      <c r="E38" s="1" t="s">
        <v>13</v>
      </c>
      <c r="F38" s="3" t="s">
        <v>14</v>
      </c>
      <c r="G38" s="1" t="s">
        <v>14</v>
      </c>
      <c r="H38" s="1" t="s">
        <v>12</v>
      </c>
      <c r="I38" s="1" t="s">
        <v>14</v>
      </c>
      <c r="J38" s="1" t="s">
        <v>14</v>
      </c>
      <c r="K38" s="1" t="s">
        <v>12</v>
      </c>
      <c r="M38">
        <f t="shared" si="7"/>
        <v>2</v>
      </c>
      <c r="N38" s="1">
        <f t="shared" si="8"/>
        <v>5</v>
      </c>
      <c r="O38" s="1">
        <f t="shared" si="9"/>
        <v>3</v>
      </c>
      <c r="P38" s="1">
        <f t="shared" si="10"/>
        <v>7</v>
      </c>
    </row>
    <row r="39" spans="1:19">
      <c r="A39" s="1" t="s">
        <v>22</v>
      </c>
      <c r="B39" s="1" t="s">
        <v>12</v>
      </c>
      <c r="C39" s="1" t="s">
        <v>14</v>
      </c>
      <c r="D39" s="1" t="s">
        <v>12</v>
      </c>
      <c r="E39" s="1" t="s">
        <v>13</v>
      </c>
      <c r="F39" s="3" t="s">
        <v>14</v>
      </c>
      <c r="G39" s="1" t="s">
        <v>13</v>
      </c>
      <c r="H39" s="1" t="s">
        <v>14</v>
      </c>
      <c r="I39" s="1" t="s">
        <v>14</v>
      </c>
      <c r="J39" s="1" t="s">
        <v>14</v>
      </c>
      <c r="K39" s="1" t="s">
        <v>12</v>
      </c>
      <c r="M39">
        <f t="shared" si="7"/>
        <v>2</v>
      </c>
      <c r="N39" s="1">
        <f t="shared" si="8"/>
        <v>5</v>
      </c>
      <c r="O39" s="1">
        <f t="shared" si="9"/>
        <v>3</v>
      </c>
      <c r="P39" s="1">
        <f t="shared" si="10"/>
        <v>7</v>
      </c>
    </row>
    <row r="40" spans="1:19">
      <c r="A40" s="1" t="s">
        <v>23</v>
      </c>
      <c r="B40" s="1" t="s">
        <v>12</v>
      </c>
      <c r="C40" s="1" t="s">
        <v>14</v>
      </c>
      <c r="D40" s="1" t="s">
        <v>12</v>
      </c>
      <c r="E40" s="1" t="s">
        <v>13</v>
      </c>
      <c r="F40" s="3" t="s">
        <v>14</v>
      </c>
      <c r="G40" s="1" t="s">
        <v>13</v>
      </c>
      <c r="H40" s="1" t="s">
        <v>14</v>
      </c>
      <c r="I40" s="1" t="s">
        <v>14</v>
      </c>
      <c r="J40" s="1" t="s">
        <v>14</v>
      </c>
      <c r="K40" s="1" t="s">
        <v>12</v>
      </c>
      <c r="M40">
        <f t="shared" si="7"/>
        <v>2</v>
      </c>
      <c r="N40" s="1">
        <f t="shared" si="8"/>
        <v>5</v>
      </c>
      <c r="O40" s="1">
        <f t="shared" si="9"/>
        <v>3</v>
      </c>
      <c r="P40" s="1">
        <f t="shared" si="10"/>
        <v>7</v>
      </c>
    </row>
    <row r="41" spans="1:19">
      <c r="A41" s="1" t="s">
        <v>24</v>
      </c>
      <c r="B41" s="1" t="s">
        <v>12</v>
      </c>
      <c r="C41" s="1" t="s">
        <v>14</v>
      </c>
      <c r="D41" s="1" t="s">
        <v>12</v>
      </c>
      <c r="E41" s="1" t="s">
        <v>13</v>
      </c>
      <c r="F41" s="3" t="s">
        <v>14</v>
      </c>
      <c r="G41" s="1" t="s">
        <v>13</v>
      </c>
      <c r="H41" s="1" t="s">
        <v>14</v>
      </c>
      <c r="I41" s="1" t="s">
        <v>14</v>
      </c>
      <c r="J41" s="1" t="s">
        <v>14</v>
      </c>
      <c r="K41" s="1" t="s">
        <v>12</v>
      </c>
      <c r="M41">
        <f t="shared" si="7"/>
        <v>2</v>
      </c>
      <c r="N41" s="1">
        <f t="shared" si="8"/>
        <v>5</v>
      </c>
      <c r="O41" s="1">
        <f t="shared" si="9"/>
        <v>3</v>
      </c>
      <c r="P41" s="1">
        <f t="shared" si="10"/>
        <v>7</v>
      </c>
    </row>
    <row r="42" spans="1:19">
      <c r="A42" s="1" t="s">
        <v>25</v>
      </c>
      <c r="B42" s="1" t="s">
        <v>12</v>
      </c>
      <c r="C42" s="1" t="s">
        <v>14</v>
      </c>
      <c r="D42" s="3" t="s">
        <v>14</v>
      </c>
      <c r="E42" s="1" t="s">
        <v>13</v>
      </c>
      <c r="F42" s="1" t="s">
        <v>14</v>
      </c>
      <c r="G42" s="1" t="s">
        <v>13</v>
      </c>
      <c r="H42" s="1" t="s">
        <v>12</v>
      </c>
      <c r="I42" s="1" t="s">
        <v>13</v>
      </c>
      <c r="J42" s="1" t="s">
        <v>14</v>
      </c>
      <c r="K42" s="1" t="s">
        <v>12</v>
      </c>
      <c r="M42">
        <f t="shared" si="7"/>
        <v>3</v>
      </c>
      <c r="N42" s="1">
        <f t="shared" si="8"/>
        <v>4</v>
      </c>
      <c r="O42" s="1">
        <f t="shared" si="9"/>
        <v>3</v>
      </c>
      <c r="P42" s="1">
        <f t="shared" si="10"/>
        <v>7</v>
      </c>
    </row>
    <row r="43" spans="1:19">
      <c r="A43" s="1" t="s">
        <v>26</v>
      </c>
      <c r="B43" s="1" t="s">
        <v>12</v>
      </c>
      <c r="C43" s="1" t="s">
        <v>14</v>
      </c>
      <c r="D43" s="3" t="s">
        <v>14</v>
      </c>
      <c r="E43" s="1" t="s">
        <v>14</v>
      </c>
      <c r="F43" s="1" t="s">
        <v>14</v>
      </c>
      <c r="G43" s="1" t="s">
        <v>13</v>
      </c>
      <c r="H43" s="1" t="s">
        <v>14</v>
      </c>
      <c r="I43" s="1" t="s">
        <v>13</v>
      </c>
      <c r="J43" s="1" t="s">
        <v>12</v>
      </c>
      <c r="K43" s="1" t="s">
        <v>12</v>
      </c>
      <c r="M43">
        <f t="shared" si="7"/>
        <v>2</v>
      </c>
      <c r="N43" s="1">
        <f t="shared" si="8"/>
        <v>5</v>
      </c>
      <c r="O43" s="1">
        <f t="shared" si="9"/>
        <v>3</v>
      </c>
      <c r="P43" s="1">
        <f t="shared" si="10"/>
        <v>7</v>
      </c>
    </row>
    <row r="44" spans="1:19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</row>
    <row r="46" spans="1:19">
      <c r="M46" t="s">
        <v>32</v>
      </c>
      <c r="R46" t="s">
        <v>36</v>
      </c>
      <c r="S46">
        <f>O22+O47</f>
        <v>1360</v>
      </c>
    </row>
    <row r="47" spans="1:19">
      <c r="A47" s="1" t="s">
        <v>29</v>
      </c>
      <c r="B47">
        <f>COUNTIF(B31:B44,"VA")</f>
        <v>0</v>
      </c>
      <c r="C47">
        <f t="shared" ref="C47:K47" si="11">COUNTIF(C31:C44,"VA")</f>
        <v>8</v>
      </c>
      <c r="D47">
        <f t="shared" si="11"/>
        <v>0</v>
      </c>
      <c r="E47">
        <f t="shared" si="11"/>
        <v>8</v>
      </c>
      <c r="F47">
        <f t="shared" si="11"/>
        <v>0</v>
      </c>
      <c r="G47">
        <f t="shared" si="11"/>
        <v>5</v>
      </c>
      <c r="H47">
        <f t="shared" si="11"/>
        <v>0</v>
      </c>
      <c r="I47">
        <f t="shared" si="11"/>
        <v>6</v>
      </c>
      <c r="J47">
        <f t="shared" si="11"/>
        <v>0</v>
      </c>
      <c r="K47">
        <f t="shared" si="11"/>
        <v>0</v>
      </c>
      <c r="M47">
        <f>SUM(B47:K47)</f>
        <v>27</v>
      </c>
      <c r="O47">
        <f>M47*16</f>
        <v>432</v>
      </c>
      <c r="R47" t="s">
        <v>37</v>
      </c>
      <c r="S47">
        <f>O23+O48</f>
        <v>3232</v>
      </c>
    </row>
    <row r="48" spans="1:19">
      <c r="A48" s="1" t="s">
        <v>30</v>
      </c>
      <c r="B48">
        <f>COUNTIF(B31:B44,"CSM")</f>
        <v>0</v>
      </c>
      <c r="C48">
        <f t="shared" ref="C48:K48" si="12">COUNTIF(C31:C44,"CSM")</f>
        <v>5</v>
      </c>
      <c r="D48">
        <f t="shared" si="12"/>
        <v>10</v>
      </c>
      <c r="E48">
        <f t="shared" si="12"/>
        <v>5</v>
      </c>
      <c r="F48">
        <f t="shared" si="12"/>
        <v>7</v>
      </c>
      <c r="G48">
        <f t="shared" si="12"/>
        <v>8</v>
      </c>
      <c r="H48">
        <f t="shared" si="12"/>
        <v>11</v>
      </c>
      <c r="I48">
        <f t="shared" si="12"/>
        <v>7</v>
      </c>
      <c r="J48">
        <f t="shared" si="12"/>
        <v>11</v>
      </c>
      <c r="K48">
        <f t="shared" si="12"/>
        <v>0</v>
      </c>
      <c r="M48">
        <f>SUM(B48:K48)</f>
        <v>64</v>
      </c>
      <c r="O48">
        <f>M48*16</f>
        <v>1024</v>
      </c>
    </row>
    <row r="49" spans="1:13">
      <c r="A49" s="1" t="s">
        <v>31</v>
      </c>
      <c r="B49">
        <f>COUNTIF(B31:B44,"Other")</f>
        <v>13</v>
      </c>
      <c r="C49">
        <f t="shared" ref="C49:K49" si="13">COUNTIF(C31:C44,"Other")</f>
        <v>0</v>
      </c>
      <c r="D49">
        <f t="shared" si="13"/>
        <v>3</v>
      </c>
      <c r="E49">
        <f t="shared" si="13"/>
        <v>0</v>
      </c>
      <c r="F49">
        <f t="shared" si="13"/>
        <v>6</v>
      </c>
      <c r="G49">
        <f t="shared" si="13"/>
        <v>0</v>
      </c>
      <c r="H49">
        <f t="shared" si="13"/>
        <v>2</v>
      </c>
      <c r="I49">
        <f t="shared" si="13"/>
        <v>0</v>
      </c>
      <c r="J49">
        <f t="shared" si="13"/>
        <v>2</v>
      </c>
      <c r="K49">
        <f t="shared" si="13"/>
        <v>13</v>
      </c>
      <c r="M49">
        <f>SUM(B49:K49)</f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Buckhold, Fred</dc:creator>
  <cp:lastModifiedBy>Buckhold, Fred</cp:lastModifiedBy>
  <dcterms:created xsi:type="dcterms:W3CDTF">2026-02-12T17:02:03Z</dcterms:created>
  <dcterms:modified xsi:type="dcterms:W3CDTF">2026-02-12T17:12:04Z</dcterms:modified>
</cp:coreProperties>
</file>