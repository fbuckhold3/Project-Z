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Users/fredbuckhold/Documents/"/>
    </mc:Choice>
  </mc:AlternateContent>
  <xr:revisionPtr revIDLastSave="0" documentId="8_{E9B99E0C-BAB4-44C0-B262-B901A97BB415}" xr6:coauthVersionLast="47" xr6:coauthVersionMax="47" xr10:uidLastSave="{00000000-0000-0000-0000-000000000000}"/>
  <bookViews>
    <workbookView xWindow="3220" yWindow="1240" windowWidth="28040" windowHeight="17440" xr2:uid="{ADF8FDF0-5419-4245-A6D7-05B17E8833D3}"/>
  </bookViews>
  <sheets>
    <sheet name="Daily" sheetId="1" r:id="rId1"/>
    <sheet name="Weekly" sheetId="4" r:id="rId2"/>
    <sheet name="Sheet2" sheetId="9" r:id="rId3"/>
    <sheet name="Success for first half!" sheetId="8" r:id="rId4"/>
    <sheet name="Sheet1" sheetId="6" r:id="rId5"/>
    <sheet name="Senior" sheetId="5" r:id="rId6"/>
    <sheet name="Rotation List" sheetId="2" r:id="rId7"/>
    <sheet name="Clinic" sheetId="3"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C130" i="1" l="1"/>
  <c r="NB130" i="1"/>
  <c r="NA130" i="1"/>
  <c r="MZ130" i="1"/>
  <c r="MY130" i="1"/>
  <c r="MX130" i="1"/>
  <c r="MW130" i="1"/>
  <c r="MV130" i="1"/>
  <c r="MU130" i="1"/>
  <c r="MT130" i="1"/>
  <c r="MS130" i="1"/>
  <c r="MR130" i="1"/>
  <c r="MQ130" i="1"/>
  <c r="MP130" i="1"/>
  <c r="MO130" i="1"/>
  <c r="MN130" i="1"/>
  <c r="MM130" i="1"/>
  <c r="ML130" i="1"/>
  <c r="MK130" i="1"/>
  <c r="MJ130" i="1"/>
  <c r="MI130" i="1"/>
  <c r="MH130" i="1"/>
  <c r="MG130" i="1"/>
  <c r="MF130" i="1"/>
  <c r="ME130" i="1"/>
  <c r="MD130" i="1"/>
  <c r="MC130" i="1"/>
  <c r="MB130" i="1"/>
  <c r="MA130" i="1"/>
  <c r="LZ130" i="1"/>
  <c r="LY130" i="1"/>
  <c r="LX130" i="1"/>
  <c r="LW130" i="1"/>
  <c r="LV130" i="1"/>
  <c r="LU130" i="1"/>
  <c r="LT130" i="1"/>
  <c r="LS130" i="1"/>
  <c r="LR130" i="1"/>
  <c r="LQ130" i="1"/>
  <c r="LP130" i="1"/>
  <c r="LO130" i="1"/>
  <c r="LN130" i="1"/>
  <c r="LM130" i="1"/>
  <c r="LL130" i="1"/>
  <c r="LK130" i="1"/>
  <c r="LJ130" i="1"/>
  <c r="LI130" i="1"/>
  <c r="LH130" i="1"/>
  <c r="LG130" i="1"/>
  <c r="LF130" i="1"/>
  <c r="LE130" i="1"/>
  <c r="LD130" i="1"/>
  <c r="LC130" i="1"/>
  <c r="LB130" i="1"/>
  <c r="LA130" i="1"/>
  <c r="KZ130" i="1"/>
  <c r="KY130" i="1"/>
  <c r="KX130" i="1"/>
  <c r="KW130" i="1"/>
  <c r="KV130" i="1"/>
  <c r="KU130" i="1"/>
  <c r="KT130" i="1"/>
  <c r="KS130" i="1"/>
  <c r="KR130" i="1"/>
  <c r="KQ130" i="1"/>
  <c r="KP130" i="1"/>
  <c r="KO130" i="1"/>
  <c r="KN130" i="1"/>
  <c r="KM130" i="1"/>
  <c r="KL130" i="1"/>
  <c r="KK130" i="1"/>
  <c r="KJ130" i="1"/>
  <c r="KI130" i="1"/>
  <c r="KH130" i="1"/>
  <c r="KG130" i="1"/>
  <c r="KF130" i="1"/>
  <c r="KE130" i="1"/>
  <c r="KD130" i="1"/>
  <c r="KC130" i="1"/>
  <c r="KB130" i="1"/>
  <c r="KA130" i="1"/>
  <c r="JZ130" i="1"/>
  <c r="JY130" i="1"/>
  <c r="JX130" i="1"/>
  <c r="JW130" i="1"/>
  <c r="JV130" i="1"/>
  <c r="JU130" i="1"/>
  <c r="JT130" i="1"/>
  <c r="JS130" i="1"/>
  <c r="JR130" i="1"/>
  <c r="JQ130" i="1"/>
  <c r="JP130" i="1"/>
  <c r="JO130" i="1"/>
  <c r="JN130" i="1"/>
  <c r="JM130" i="1"/>
  <c r="JL130" i="1"/>
  <c r="JK130" i="1"/>
  <c r="JJ130" i="1"/>
  <c r="JI130" i="1"/>
  <c r="JH130" i="1"/>
  <c r="JG130" i="1"/>
  <c r="JF130" i="1"/>
  <c r="JE130" i="1"/>
  <c r="JD130" i="1"/>
  <c r="JC130" i="1"/>
  <c r="JB130" i="1"/>
  <c r="JA130" i="1"/>
  <c r="IZ130" i="1"/>
  <c r="IY130" i="1"/>
  <c r="IX130" i="1"/>
  <c r="IW130" i="1"/>
  <c r="IV130" i="1"/>
  <c r="IU130" i="1"/>
  <c r="IT130" i="1"/>
  <c r="IS130" i="1"/>
  <c r="IR130" i="1"/>
  <c r="IQ130" i="1"/>
  <c r="IP130" i="1"/>
  <c r="IO130" i="1"/>
  <c r="IN130" i="1"/>
  <c r="IM130" i="1"/>
  <c r="IL130" i="1"/>
  <c r="IK130" i="1"/>
  <c r="IJ130" i="1"/>
  <c r="II130" i="1"/>
  <c r="IH130" i="1"/>
  <c r="IG130" i="1"/>
  <c r="IF130" i="1"/>
  <c r="IE130" i="1"/>
  <c r="ID130" i="1"/>
  <c r="IC130" i="1"/>
  <c r="IB130" i="1"/>
  <c r="IA130" i="1"/>
  <c r="HZ130" i="1"/>
  <c r="HY130" i="1"/>
  <c r="HX130" i="1"/>
  <c r="HW130" i="1"/>
  <c r="HV130" i="1"/>
  <c r="HU130" i="1"/>
  <c r="HT130" i="1"/>
  <c r="HS130" i="1"/>
  <c r="HR130" i="1"/>
  <c r="HQ130" i="1"/>
  <c r="HP130" i="1"/>
  <c r="HO130" i="1"/>
  <c r="HN130" i="1"/>
  <c r="HM130" i="1"/>
  <c r="HL130" i="1"/>
  <c r="HK130" i="1"/>
  <c r="HJ130" i="1"/>
  <c r="HI130" i="1"/>
  <c r="HH130" i="1"/>
  <c r="HG130" i="1"/>
  <c r="HF130" i="1"/>
  <c r="HE130" i="1"/>
  <c r="HD130" i="1"/>
  <c r="HC130" i="1"/>
  <c r="HB130" i="1"/>
  <c r="HA130" i="1"/>
  <c r="GZ130" i="1"/>
  <c r="GY130" i="1"/>
  <c r="GX130" i="1"/>
  <c r="GW130" i="1"/>
  <c r="GV130" i="1"/>
  <c r="GU130" i="1"/>
  <c r="GT130" i="1"/>
  <c r="GS130" i="1"/>
  <c r="GR130" i="1"/>
  <c r="GQ130" i="1"/>
  <c r="GP130" i="1"/>
  <c r="GO130" i="1"/>
  <c r="GN130" i="1"/>
  <c r="GM130" i="1"/>
  <c r="GL130" i="1"/>
  <c r="GK130" i="1"/>
  <c r="GJ130" i="1"/>
  <c r="GI130" i="1"/>
  <c r="GH130" i="1"/>
  <c r="GG130" i="1"/>
  <c r="GF130" i="1"/>
  <c r="GE130" i="1"/>
  <c r="GD130" i="1"/>
  <c r="GC130" i="1"/>
  <c r="GB130" i="1"/>
  <c r="GA130" i="1"/>
  <c r="FZ130" i="1"/>
  <c r="FY130" i="1"/>
  <c r="FX130" i="1"/>
  <c r="FW130" i="1"/>
  <c r="FV130" i="1"/>
  <c r="FU130" i="1"/>
  <c r="FT130" i="1"/>
  <c r="FS130" i="1"/>
  <c r="FR130" i="1"/>
  <c r="FQ130" i="1"/>
  <c r="FP130" i="1"/>
  <c r="FO130" i="1"/>
  <c r="FN130" i="1"/>
  <c r="FM130" i="1"/>
  <c r="FL130" i="1"/>
  <c r="FK130" i="1"/>
  <c r="FJ130" i="1"/>
  <c r="FI130" i="1"/>
  <c r="FH130" i="1"/>
  <c r="FG130" i="1"/>
  <c r="FF130" i="1"/>
  <c r="FE130" i="1"/>
  <c r="FD130" i="1"/>
  <c r="FC130" i="1"/>
  <c r="FB130" i="1"/>
  <c r="FA130" i="1"/>
  <c r="EZ130" i="1"/>
  <c r="EY130" i="1"/>
  <c r="EX130" i="1"/>
  <c r="EW130" i="1"/>
  <c r="EV130" i="1"/>
  <c r="EU130" i="1"/>
  <c r="ET130" i="1"/>
  <c r="ES130" i="1"/>
  <c r="ER130" i="1"/>
  <c r="EQ130" i="1"/>
  <c r="EP130" i="1"/>
  <c r="EO130" i="1"/>
  <c r="EN130" i="1"/>
  <c r="EM130" i="1"/>
  <c r="EL130" i="1"/>
  <c r="EK130" i="1"/>
  <c r="EJ130" i="1"/>
  <c r="EI130" i="1"/>
  <c r="EH130" i="1"/>
  <c r="EG130" i="1"/>
  <c r="EF130" i="1"/>
  <c r="EE130" i="1"/>
  <c r="ED130" i="1"/>
  <c r="EC130" i="1"/>
  <c r="EB130" i="1"/>
  <c r="EA130" i="1"/>
  <c r="DZ130" i="1"/>
  <c r="DY130" i="1"/>
  <c r="DX130" i="1"/>
  <c r="DW130" i="1"/>
  <c r="DV130" i="1"/>
  <c r="DU130" i="1"/>
  <c r="DT130" i="1"/>
  <c r="DS130" i="1"/>
  <c r="DR130" i="1"/>
  <c r="DQ130" i="1"/>
  <c r="DP130" i="1"/>
  <c r="DO130" i="1"/>
  <c r="DN130" i="1"/>
  <c r="DM130" i="1"/>
  <c r="DL130" i="1"/>
  <c r="DK130" i="1"/>
  <c r="DJ130" i="1"/>
  <c r="DI130" i="1"/>
  <c r="DH130" i="1"/>
  <c r="DG130" i="1"/>
  <c r="DF130" i="1"/>
  <c r="DE130" i="1"/>
  <c r="DD130" i="1"/>
  <c r="DC130" i="1"/>
  <c r="DB130" i="1"/>
  <c r="DA130" i="1"/>
  <c r="CZ130" i="1"/>
  <c r="CY130" i="1"/>
  <c r="CX130" i="1"/>
  <c r="CW130" i="1"/>
  <c r="CV130" i="1"/>
  <c r="CU130" i="1"/>
  <c r="CT130" i="1"/>
  <c r="CS130" i="1"/>
  <c r="CR130" i="1"/>
  <c r="CQ130" i="1"/>
  <c r="CP130" i="1"/>
  <c r="CO130" i="1"/>
  <c r="CN130" i="1"/>
  <c r="CM130" i="1"/>
  <c r="CL130" i="1"/>
  <c r="CK130" i="1"/>
  <c r="CJ130" i="1"/>
  <c r="CI130" i="1"/>
  <c r="CH130" i="1"/>
  <c r="CG130" i="1"/>
  <c r="CF130" i="1"/>
  <c r="CE130" i="1"/>
  <c r="CD130" i="1"/>
  <c r="CC130" i="1"/>
  <c r="CB130" i="1"/>
  <c r="CA130" i="1"/>
  <c r="BZ130" i="1"/>
  <c r="BY130" i="1"/>
  <c r="BX130" i="1"/>
  <c r="BW130" i="1"/>
  <c r="BV130" i="1"/>
  <c r="BU130" i="1"/>
  <c r="BT130" i="1"/>
  <c r="BS130" i="1"/>
  <c r="BR130" i="1"/>
  <c r="BQ130" i="1"/>
  <c r="BP130" i="1"/>
  <c r="BO130" i="1"/>
  <c r="BN130" i="1"/>
  <c r="BM130" i="1"/>
  <c r="BL130" i="1"/>
  <c r="BK130" i="1"/>
  <c r="BJ130" i="1"/>
  <c r="BI130" i="1"/>
  <c r="BH130" i="1"/>
  <c r="BG130" i="1"/>
  <c r="BF130" i="1"/>
  <c r="BE130" i="1"/>
  <c r="BD130" i="1"/>
  <c r="BC130" i="1"/>
  <c r="BB130" i="1"/>
  <c r="BA130" i="1"/>
  <c r="AZ130" i="1"/>
  <c r="AY130" i="1"/>
  <c r="AX130" i="1"/>
  <c r="AW130" i="1"/>
  <c r="AV130" i="1"/>
  <c r="AU130" i="1"/>
  <c r="AT130" i="1"/>
  <c r="AS130" i="1"/>
  <c r="AR130" i="1"/>
  <c r="AQ130" i="1"/>
  <c r="AP130" i="1"/>
  <c r="AO130" i="1"/>
  <c r="AN130" i="1"/>
  <c r="AM130" i="1"/>
  <c r="AL130" i="1"/>
  <c r="AK130" i="1"/>
  <c r="AJ130" i="1"/>
  <c r="AI130" i="1"/>
  <c r="AH130" i="1"/>
  <c r="AG130" i="1"/>
  <c r="AF130" i="1"/>
  <c r="AE130" i="1"/>
  <c r="AD130" i="1"/>
  <c r="AC130" i="1"/>
  <c r="AB130" i="1"/>
  <c r="AA130" i="1"/>
  <c r="Z130" i="1"/>
  <c r="Y130" i="1"/>
  <c r="X130" i="1"/>
  <c r="W130" i="1"/>
  <c r="V130" i="1"/>
  <c r="U130" i="1"/>
  <c r="T130" i="1"/>
  <c r="S130" i="1"/>
  <c r="R130" i="1"/>
  <c r="Q130" i="1"/>
  <c r="P130" i="1"/>
  <c r="O130" i="1"/>
  <c r="N130" i="1"/>
  <c r="M130" i="1"/>
  <c r="L130" i="1"/>
  <c r="K130" i="1"/>
  <c r="J130" i="1"/>
  <c r="I130" i="1"/>
  <c r="H130" i="1"/>
  <c r="NC129" i="1"/>
  <c r="NB129" i="1"/>
  <c r="NA129" i="1"/>
  <c r="MZ129" i="1"/>
  <c r="MY129" i="1"/>
  <c r="MX129" i="1"/>
  <c r="MW129" i="1"/>
  <c r="MV129" i="1"/>
  <c r="MU129" i="1"/>
  <c r="MT129" i="1"/>
  <c r="MS129" i="1"/>
  <c r="MR129" i="1"/>
  <c r="MQ129" i="1"/>
  <c r="MP129" i="1"/>
  <c r="MO129" i="1"/>
  <c r="MN129" i="1"/>
  <c r="MM129" i="1"/>
  <c r="ML129" i="1"/>
  <c r="MK129" i="1"/>
  <c r="MJ129" i="1"/>
  <c r="MI129" i="1"/>
  <c r="MH129" i="1"/>
  <c r="MG129" i="1"/>
  <c r="MF129" i="1"/>
  <c r="ME129" i="1"/>
  <c r="MD129" i="1"/>
  <c r="MC129" i="1"/>
  <c r="MB129" i="1"/>
  <c r="MA129" i="1"/>
  <c r="LZ129" i="1"/>
  <c r="LY129" i="1"/>
  <c r="LX129" i="1"/>
  <c r="LW129" i="1"/>
  <c r="LV129" i="1"/>
  <c r="LU129" i="1"/>
  <c r="LT129" i="1"/>
  <c r="LS129" i="1"/>
  <c r="LR129" i="1"/>
  <c r="LQ129" i="1"/>
  <c r="LP129" i="1"/>
  <c r="LO129" i="1"/>
  <c r="LN129" i="1"/>
  <c r="LM129" i="1"/>
  <c r="LL129" i="1"/>
  <c r="LK129" i="1"/>
  <c r="LJ129" i="1"/>
  <c r="LI129" i="1"/>
  <c r="LH129" i="1"/>
  <c r="LG129" i="1"/>
  <c r="LF129" i="1"/>
  <c r="LE129" i="1"/>
  <c r="LD129" i="1"/>
  <c r="LC129" i="1"/>
  <c r="LB129" i="1"/>
  <c r="LA129" i="1"/>
  <c r="KZ129" i="1"/>
  <c r="KY129" i="1"/>
  <c r="KX129" i="1"/>
  <c r="KW129" i="1"/>
  <c r="KV129" i="1"/>
  <c r="KU129" i="1"/>
  <c r="KT129" i="1"/>
  <c r="KS129" i="1"/>
  <c r="KR129" i="1"/>
  <c r="KQ129" i="1"/>
  <c r="KP129" i="1"/>
  <c r="KO129" i="1"/>
  <c r="KN129" i="1"/>
  <c r="KM129" i="1"/>
  <c r="KL129" i="1"/>
  <c r="KK129" i="1"/>
  <c r="KJ129" i="1"/>
  <c r="KI129" i="1"/>
  <c r="KH129" i="1"/>
  <c r="KG129" i="1"/>
  <c r="KF129" i="1"/>
  <c r="KE129" i="1"/>
  <c r="KD129" i="1"/>
  <c r="KC129" i="1"/>
  <c r="KB129" i="1"/>
  <c r="KA129" i="1"/>
  <c r="JZ129" i="1"/>
  <c r="JY129" i="1"/>
  <c r="JX129" i="1"/>
  <c r="JW129" i="1"/>
  <c r="JV129" i="1"/>
  <c r="JU129" i="1"/>
  <c r="JT129" i="1"/>
  <c r="JS129" i="1"/>
  <c r="JR129" i="1"/>
  <c r="JQ129" i="1"/>
  <c r="JP129" i="1"/>
  <c r="JO129" i="1"/>
  <c r="JN129" i="1"/>
  <c r="JM129" i="1"/>
  <c r="JL129" i="1"/>
  <c r="JK129" i="1"/>
  <c r="JJ129" i="1"/>
  <c r="JI129" i="1"/>
  <c r="JH129" i="1"/>
  <c r="JG129" i="1"/>
  <c r="JF129" i="1"/>
  <c r="JE129" i="1"/>
  <c r="JD129" i="1"/>
  <c r="JC129" i="1"/>
  <c r="JB129" i="1"/>
  <c r="JA129" i="1"/>
  <c r="IZ129" i="1"/>
  <c r="IY129" i="1"/>
  <c r="IX129" i="1"/>
  <c r="IW129" i="1"/>
  <c r="IV129" i="1"/>
  <c r="IU129" i="1"/>
  <c r="IT129" i="1"/>
  <c r="IS129" i="1"/>
  <c r="IR129" i="1"/>
  <c r="IQ129" i="1"/>
  <c r="IP129" i="1"/>
  <c r="IO129" i="1"/>
  <c r="IN129" i="1"/>
  <c r="IM129" i="1"/>
  <c r="IL129" i="1"/>
  <c r="IK129" i="1"/>
  <c r="IJ129" i="1"/>
  <c r="II129" i="1"/>
  <c r="IH129" i="1"/>
  <c r="IG129" i="1"/>
  <c r="IF129" i="1"/>
  <c r="IE129" i="1"/>
  <c r="ID129" i="1"/>
  <c r="IC129" i="1"/>
  <c r="IB129" i="1"/>
  <c r="IA129" i="1"/>
  <c r="HZ129" i="1"/>
  <c r="HY129" i="1"/>
  <c r="HX129" i="1"/>
  <c r="HW129" i="1"/>
  <c r="HV129" i="1"/>
  <c r="HU129" i="1"/>
  <c r="HT129" i="1"/>
  <c r="HS129" i="1"/>
  <c r="HR129" i="1"/>
  <c r="HQ129" i="1"/>
  <c r="HP129" i="1"/>
  <c r="HO129" i="1"/>
  <c r="HN129" i="1"/>
  <c r="HM129" i="1"/>
  <c r="HL129" i="1"/>
  <c r="HK129" i="1"/>
  <c r="HJ129" i="1"/>
  <c r="HI129" i="1"/>
  <c r="HH129" i="1"/>
  <c r="HG129" i="1"/>
  <c r="HF129" i="1"/>
  <c r="HE129" i="1"/>
  <c r="HD129" i="1"/>
  <c r="HC129" i="1"/>
  <c r="HB129" i="1"/>
  <c r="HA129" i="1"/>
  <c r="GZ129" i="1"/>
  <c r="GY129" i="1"/>
  <c r="GX129" i="1"/>
  <c r="GW129" i="1"/>
  <c r="GV129" i="1"/>
  <c r="GU129" i="1"/>
  <c r="GT129" i="1"/>
  <c r="GS129" i="1"/>
  <c r="GR129" i="1"/>
  <c r="GQ129" i="1"/>
  <c r="GP129" i="1"/>
  <c r="GO129" i="1"/>
  <c r="GN129" i="1"/>
  <c r="GM129" i="1"/>
  <c r="GL129" i="1"/>
  <c r="GK129" i="1"/>
  <c r="GJ129" i="1"/>
  <c r="GI129" i="1"/>
  <c r="GH129" i="1"/>
  <c r="GG129" i="1"/>
  <c r="GF129" i="1"/>
  <c r="GE129" i="1"/>
  <c r="GD129" i="1"/>
  <c r="GC129" i="1"/>
  <c r="GB129" i="1"/>
  <c r="GA129" i="1"/>
  <c r="FZ129" i="1"/>
  <c r="FY129" i="1"/>
  <c r="FX129" i="1"/>
  <c r="FW129" i="1"/>
  <c r="FV129" i="1"/>
  <c r="FU129" i="1"/>
  <c r="FT129" i="1"/>
  <c r="FS129" i="1"/>
  <c r="FR129" i="1"/>
  <c r="FQ129" i="1"/>
  <c r="FP129" i="1"/>
  <c r="FO129" i="1"/>
  <c r="FN129" i="1"/>
  <c r="FM129" i="1"/>
  <c r="FL129" i="1"/>
  <c r="FK129" i="1"/>
  <c r="FJ129" i="1"/>
  <c r="FI129" i="1"/>
  <c r="FH129" i="1"/>
  <c r="FG129" i="1"/>
  <c r="FF129" i="1"/>
  <c r="FE129" i="1"/>
  <c r="FD129" i="1"/>
  <c r="FC129" i="1"/>
  <c r="FB129" i="1"/>
  <c r="FA129" i="1"/>
  <c r="EZ129" i="1"/>
  <c r="EY129" i="1"/>
  <c r="EX129" i="1"/>
  <c r="EW129" i="1"/>
  <c r="EV129" i="1"/>
  <c r="EU129" i="1"/>
  <c r="ET129" i="1"/>
  <c r="ES129" i="1"/>
  <c r="ER129" i="1"/>
  <c r="EQ129" i="1"/>
  <c r="EP129" i="1"/>
  <c r="EO129" i="1"/>
  <c r="EN129" i="1"/>
  <c r="EM129" i="1"/>
  <c r="EL129" i="1"/>
  <c r="EK129" i="1"/>
  <c r="EJ129" i="1"/>
  <c r="EI129" i="1"/>
  <c r="EH129" i="1"/>
  <c r="EG129" i="1"/>
  <c r="EF129" i="1"/>
  <c r="EE129" i="1"/>
  <c r="ED129" i="1"/>
  <c r="EC129" i="1"/>
  <c r="EB129" i="1"/>
  <c r="EA129" i="1"/>
  <c r="DZ129" i="1"/>
  <c r="DY129" i="1"/>
  <c r="DX129" i="1"/>
  <c r="DW129" i="1"/>
  <c r="DV129" i="1"/>
  <c r="DU129" i="1"/>
  <c r="DT129" i="1"/>
  <c r="DS129" i="1"/>
  <c r="DR129" i="1"/>
  <c r="DQ129" i="1"/>
  <c r="DP129" i="1"/>
  <c r="DO129" i="1"/>
  <c r="DN129" i="1"/>
  <c r="DM129" i="1"/>
  <c r="DL129" i="1"/>
  <c r="DK129" i="1"/>
  <c r="DJ129" i="1"/>
  <c r="DI129" i="1"/>
  <c r="DH129" i="1"/>
  <c r="DG129" i="1"/>
  <c r="DF129" i="1"/>
  <c r="DE129" i="1"/>
  <c r="DD129" i="1"/>
  <c r="DC129" i="1"/>
  <c r="DB129" i="1"/>
  <c r="DA129" i="1"/>
  <c r="CZ129" i="1"/>
  <c r="CY129" i="1"/>
  <c r="CX129" i="1"/>
  <c r="CW129" i="1"/>
  <c r="CV129" i="1"/>
  <c r="CU129" i="1"/>
  <c r="CT129" i="1"/>
  <c r="CS129" i="1"/>
  <c r="CR129" i="1"/>
  <c r="CQ129" i="1"/>
  <c r="CP129" i="1"/>
  <c r="CO129" i="1"/>
  <c r="CN129" i="1"/>
  <c r="CM129" i="1"/>
  <c r="CL129" i="1"/>
  <c r="CK129" i="1"/>
  <c r="CJ129" i="1"/>
  <c r="CI129" i="1"/>
  <c r="CH129" i="1"/>
  <c r="CG129" i="1"/>
  <c r="CF129" i="1"/>
  <c r="CE129" i="1"/>
  <c r="CD129" i="1"/>
  <c r="CC129" i="1"/>
  <c r="CB129" i="1"/>
  <c r="CA129" i="1"/>
  <c r="BZ129" i="1"/>
  <c r="BY129" i="1"/>
  <c r="BX129" i="1"/>
  <c r="BW129" i="1"/>
  <c r="BV129" i="1"/>
  <c r="BU129" i="1"/>
  <c r="BT129" i="1"/>
  <c r="BS129" i="1"/>
  <c r="BR129" i="1"/>
  <c r="BQ129" i="1"/>
  <c r="BP129" i="1"/>
  <c r="BO129" i="1"/>
  <c r="BN129" i="1"/>
  <c r="BM129" i="1"/>
  <c r="BL129" i="1"/>
  <c r="BK129" i="1"/>
  <c r="BJ129" i="1"/>
  <c r="BI129" i="1"/>
  <c r="BH129" i="1"/>
  <c r="BG129" i="1"/>
  <c r="BF129" i="1"/>
  <c r="BE129" i="1"/>
  <c r="BD129" i="1"/>
  <c r="BC129" i="1"/>
  <c r="BB129" i="1"/>
  <c r="BA129" i="1"/>
  <c r="AZ129" i="1"/>
  <c r="AY129" i="1"/>
  <c r="AX129" i="1"/>
  <c r="AW129" i="1"/>
  <c r="AV129" i="1"/>
  <c r="AU129" i="1"/>
  <c r="AT129" i="1"/>
  <c r="AS129" i="1"/>
  <c r="AR129" i="1"/>
  <c r="AQ129" i="1"/>
  <c r="AP129" i="1"/>
  <c r="AO129" i="1"/>
  <c r="AN129" i="1"/>
  <c r="AM129" i="1"/>
  <c r="AL129" i="1"/>
  <c r="AK129" i="1"/>
  <c r="AJ129" i="1"/>
  <c r="AI129" i="1"/>
  <c r="AH129" i="1"/>
  <c r="AG129" i="1"/>
  <c r="AF129" i="1"/>
  <c r="AE129" i="1"/>
  <c r="AD129" i="1"/>
  <c r="AC129" i="1"/>
  <c r="AB129" i="1"/>
  <c r="AA129" i="1"/>
  <c r="Z129" i="1"/>
  <c r="Y129" i="1"/>
  <c r="X129" i="1"/>
  <c r="W129" i="1"/>
  <c r="V129" i="1"/>
  <c r="U129" i="1"/>
  <c r="T129" i="1"/>
  <c r="S129" i="1"/>
  <c r="R129" i="1"/>
  <c r="Q129" i="1"/>
  <c r="P129" i="1"/>
  <c r="O129" i="1"/>
  <c r="N129" i="1"/>
  <c r="M129" i="1"/>
  <c r="L129" i="1"/>
  <c r="K129" i="1"/>
  <c r="J129" i="1"/>
  <c r="I129" i="1"/>
  <c r="H129" i="1"/>
  <c r="NC128" i="1"/>
  <c r="NB128" i="1"/>
  <c r="NA128" i="1"/>
  <c r="MZ128" i="1"/>
  <c r="MY128" i="1"/>
  <c r="MX128" i="1"/>
  <c r="MW128" i="1"/>
  <c r="MV128" i="1"/>
  <c r="MU128" i="1"/>
  <c r="MT128" i="1"/>
  <c r="MS128" i="1"/>
  <c r="MR128" i="1"/>
  <c r="MQ128" i="1"/>
  <c r="MP128" i="1"/>
  <c r="MO128" i="1"/>
  <c r="MN128" i="1"/>
  <c r="MM128" i="1"/>
  <c r="ML128" i="1"/>
  <c r="MK128" i="1"/>
  <c r="MJ128" i="1"/>
  <c r="MI128" i="1"/>
  <c r="MH128" i="1"/>
  <c r="MG128" i="1"/>
  <c r="MF128" i="1"/>
  <c r="ME128" i="1"/>
  <c r="MD128" i="1"/>
  <c r="MC128" i="1"/>
  <c r="MB128" i="1"/>
  <c r="MA128" i="1"/>
  <c r="LZ128" i="1"/>
  <c r="LY128" i="1"/>
  <c r="LX128" i="1"/>
  <c r="LW128" i="1"/>
  <c r="LV128" i="1"/>
  <c r="LU128" i="1"/>
  <c r="LT128" i="1"/>
  <c r="LS128" i="1"/>
  <c r="LR128" i="1"/>
  <c r="LQ128" i="1"/>
  <c r="LP128" i="1"/>
  <c r="LO128" i="1"/>
  <c r="LN128" i="1"/>
  <c r="LM128" i="1"/>
  <c r="LL128" i="1"/>
  <c r="LK128" i="1"/>
  <c r="LJ128" i="1"/>
  <c r="LI128" i="1"/>
  <c r="LH128" i="1"/>
  <c r="LG128" i="1"/>
  <c r="LF128" i="1"/>
  <c r="LE128" i="1"/>
  <c r="LD128" i="1"/>
  <c r="LC128" i="1"/>
  <c r="LB128" i="1"/>
  <c r="LA128" i="1"/>
  <c r="KZ128" i="1"/>
  <c r="KY128" i="1"/>
  <c r="KX128" i="1"/>
  <c r="KW128" i="1"/>
  <c r="KV128" i="1"/>
  <c r="KU128" i="1"/>
  <c r="KT128" i="1"/>
  <c r="KS128" i="1"/>
  <c r="KR128" i="1"/>
  <c r="KQ128" i="1"/>
  <c r="KP128" i="1"/>
  <c r="KO128" i="1"/>
  <c r="KN128" i="1"/>
  <c r="KM128" i="1"/>
  <c r="KL128" i="1"/>
  <c r="KK128" i="1"/>
  <c r="KJ128" i="1"/>
  <c r="KI128" i="1"/>
  <c r="KH128" i="1"/>
  <c r="KG128" i="1"/>
  <c r="KF128" i="1"/>
  <c r="KE128" i="1"/>
  <c r="KD128" i="1"/>
  <c r="KC128" i="1"/>
  <c r="KB128" i="1"/>
  <c r="KA128" i="1"/>
  <c r="JZ128" i="1"/>
  <c r="JY128" i="1"/>
  <c r="JX128" i="1"/>
  <c r="JW128" i="1"/>
  <c r="JV128" i="1"/>
  <c r="JU128" i="1"/>
  <c r="JT128" i="1"/>
  <c r="JS128" i="1"/>
  <c r="JR128" i="1"/>
  <c r="JQ128" i="1"/>
  <c r="JP128" i="1"/>
  <c r="JO128" i="1"/>
  <c r="JN128" i="1"/>
  <c r="JM128" i="1"/>
  <c r="JL128" i="1"/>
  <c r="JK128" i="1"/>
  <c r="JJ128" i="1"/>
  <c r="JI128" i="1"/>
  <c r="JH128" i="1"/>
  <c r="JG128" i="1"/>
  <c r="JF128" i="1"/>
  <c r="JE128" i="1"/>
  <c r="JD128" i="1"/>
  <c r="JC128" i="1"/>
  <c r="JB128" i="1"/>
  <c r="JA128" i="1"/>
  <c r="IZ128" i="1"/>
  <c r="IY128" i="1"/>
  <c r="IX128" i="1"/>
  <c r="IW128" i="1"/>
  <c r="IV128" i="1"/>
  <c r="IU128" i="1"/>
  <c r="IT128" i="1"/>
  <c r="IS128" i="1"/>
  <c r="IR128" i="1"/>
  <c r="IQ128" i="1"/>
  <c r="IP128" i="1"/>
  <c r="IO128" i="1"/>
  <c r="IN128" i="1"/>
  <c r="IM128" i="1"/>
  <c r="IL128" i="1"/>
  <c r="IK128" i="1"/>
  <c r="IJ128" i="1"/>
  <c r="II128" i="1"/>
  <c r="IH128" i="1"/>
  <c r="IG128" i="1"/>
  <c r="IF128" i="1"/>
  <c r="IE128" i="1"/>
  <c r="ID128" i="1"/>
  <c r="IC128" i="1"/>
  <c r="IB128" i="1"/>
  <c r="IA128" i="1"/>
  <c r="HZ128" i="1"/>
  <c r="HY128" i="1"/>
  <c r="HX128" i="1"/>
  <c r="HW128" i="1"/>
  <c r="HV128" i="1"/>
  <c r="HU128" i="1"/>
  <c r="HT128" i="1"/>
  <c r="HS128" i="1"/>
  <c r="HR128" i="1"/>
  <c r="HQ128" i="1"/>
  <c r="HP128" i="1"/>
  <c r="HO128" i="1"/>
  <c r="HN128" i="1"/>
  <c r="HM128" i="1"/>
  <c r="HL128" i="1"/>
  <c r="HK128" i="1"/>
  <c r="HJ128" i="1"/>
  <c r="HI128" i="1"/>
  <c r="HH128" i="1"/>
  <c r="HG128" i="1"/>
  <c r="HF128" i="1"/>
  <c r="HE128" i="1"/>
  <c r="HD128" i="1"/>
  <c r="HC128" i="1"/>
  <c r="HB128" i="1"/>
  <c r="HA128" i="1"/>
  <c r="GZ128" i="1"/>
  <c r="GY128" i="1"/>
  <c r="GX128" i="1"/>
  <c r="GW128" i="1"/>
  <c r="GV128" i="1"/>
  <c r="GU128" i="1"/>
  <c r="GT128" i="1"/>
  <c r="GS128" i="1"/>
  <c r="GR128" i="1"/>
  <c r="GQ128" i="1"/>
  <c r="GP128" i="1"/>
  <c r="GO128" i="1"/>
  <c r="GN128" i="1"/>
  <c r="GM128" i="1"/>
  <c r="GL128" i="1"/>
  <c r="GK128" i="1"/>
  <c r="GJ128" i="1"/>
  <c r="GI128" i="1"/>
  <c r="GH128" i="1"/>
  <c r="GG128" i="1"/>
  <c r="GF128" i="1"/>
  <c r="GE128" i="1"/>
  <c r="GD128" i="1"/>
  <c r="GC128" i="1"/>
  <c r="GB128" i="1"/>
  <c r="GA128" i="1"/>
  <c r="FZ128" i="1"/>
  <c r="FY128" i="1"/>
  <c r="FX128" i="1"/>
  <c r="FW128" i="1"/>
  <c r="FV128" i="1"/>
  <c r="FU128" i="1"/>
  <c r="FT128" i="1"/>
  <c r="FS128" i="1"/>
  <c r="FR128" i="1"/>
  <c r="FQ128" i="1"/>
  <c r="FP128" i="1"/>
  <c r="FO128" i="1"/>
  <c r="FN128" i="1"/>
  <c r="FM128" i="1"/>
  <c r="FL128" i="1"/>
  <c r="FK128" i="1"/>
  <c r="FJ128" i="1"/>
  <c r="FI128" i="1"/>
  <c r="FH128" i="1"/>
  <c r="FG128" i="1"/>
  <c r="FF128" i="1"/>
  <c r="FE128" i="1"/>
  <c r="FD128" i="1"/>
  <c r="FC128" i="1"/>
  <c r="FB128" i="1"/>
  <c r="FA128" i="1"/>
  <c r="EZ128" i="1"/>
  <c r="EY128" i="1"/>
  <c r="EX128" i="1"/>
  <c r="EW128" i="1"/>
  <c r="EV128" i="1"/>
  <c r="EU128" i="1"/>
  <c r="ET128" i="1"/>
  <c r="ES128" i="1"/>
  <c r="ER128" i="1"/>
  <c r="EQ128" i="1"/>
  <c r="EP128" i="1"/>
  <c r="EO128" i="1"/>
  <c r="EN128" i="1"/>
  <c r="EM128" i="1"/>
  <c r="EL128" i="1"/>
  <c r="EK128" i="1"/>
  <c r="EJ128" i="1"/>
  <c r="EI128" i="1"/>
  <c r="EH128" i="1"/>
  <c r="EG128" i="1"/>
  <c r="EF128" i="1"/>
  <c r="EE128" i="1"/>
  <c r="ED128" i="1"/>
  <c r="EC128" i="1"/>
  <c r="EB128" i="1"/>
  <c r="EA128" i="1"/>
  <c r="DZ128" i="1"/>
  <c r="DY128" i="1"/>
  <c r="DX128" i="1"/>
  <c r="DW128" i="1"/>
  <c r="DV128" i="1"/>
  <c r="DU128" i="1"/>
  <c r="DT128" i="1"/>
  <c r="DS128" i="1"/>
  <c r="DR128" i="1"/>
  <c r="DQ128" i="1"/>
  <c r="DP128" i="1"/>
  <c r="DO128" i="1"/>
  <c r="DN128" i="1"/>
  <c r="DM128" i="1"/>
  <c r="DL128" i="1"/>
  <c r="DK128" i="1"/>
  <c r="DJ128" i="1"/>
  <c r="DI128" i="1"/>
  <c r="DH128" i="1"/>
  <c r="DG128" i="1"/>
  <c r="DF128" i="1"/>
  <c r="DE128" i="1"/>
  <c r="DD128" i="1"/>
  <c r="DC128" i="1"/>
  <c r="DB128" i="1"/>
  <c r="DA128" i="1"/>
  <c r="CZ128" i="1"/>
  <c r="CY128" i="1"/>
  <c r="CX128" i="1"/>
  <c r="CW128" i="1"/>
  <c r="CV128" i="1"/>
  <c r="CU128" i="1"/>
  <c r="CT128" i="1"/>
  <c r="CS128" i="1"/>
  <c r="CR128" i="1"/>
  <c r="CQ128" i="1"/>
  <c r="CP128" i="1"/>
  <c r="CO128" i="1"/>
  <c r="CN128" i="1"/>
  <c r="CM128" i="1"/>
  <c r="CL128" i="1"/>
  <c r="CK128" i="1"/>
  <c r="CJ128" i="1"/>
  <c r="CI128" i="1"/>
  <c r="CH128" i="1"/>
  <c r="CG128" i="1"/>
  <c r="CF128" i="1"/>
  <c r="CE128" i="1"/>
  <c r="CD128" i="1"/>
  <c r="CC128" i="1"/>
  <c r="CB128" i="1"/>
  <c r="CA128" i="1"/>
  <c r="BZ128" i="1"/>
  <c r="BY128" i="1"/>
  <c r="BX128" i="1"/>
  <c r="BW128" i="1"/>
  <c r="BV128" i="1"/>
  <c r="BU128" i="1"/>
  <c r="BT128" i="1"/>
  <c r="BS128" i="1"/>
  <c r="BR128" i="1"/>
  <c r="BQ128" i="1"/>
  <c r="BP128" i="1"/>
  <c r="BO128" i="1"/>
  <c r="BN128" i="1"/>
  <c r="BM128" i="1"/>
  <c r="BL128" i="1"/>
  <c r="BK128" i="1"/>
  <c r="BJ128" i="1"/>
  <c r="BI128" i="1"/>
  <c r="BH128" i="1"/>
  <c r="BG128" i="1"/>
  <c r="BF128" i="1"/>
  <c r="BE128" i="1"/>
  <c r="BD128" i="1"/>
  <c r="BC128" i="1"/>
  <c r="BB128" i="1"/>
  <c r="BA128" i="1"/>
  <c r="AZ128" i="1"/>
  <c r="AY128" i="1"/>
  <c r="AX128" i="1"/>
  <c r="AW128" i="1"/>
  <c r="AV128" i="1"/>
  <c r="AU128" i="1"/>
  <c r="AT128" i="1"/>
  <c r="AS128" i="1"/>
  <c r="AR128" i="1"/>
  <c r="AQ128" i="1"/>
  <c r="AP128" i="1"/>
  <c r="AO128" i="1"/>
  <c r="AN128" i="1"/>
  <c r="AM128" i="1"/>
  <c r="AL128" i="1"/>
  <c r="AK128" i="1"/>
  <c r="AJ128" i="1"/>
  <c r="AI128" i="1"/>
  <c r="AH128" i="1"/>
  <c r="AG128" i="1"/>
  <c r="AF128" i="1"/>
  <c r="AE128" i="1"/>
  <c r="AD128" i="1"/>
  <c r="AC128" i="1"/>
  <c r="AB128" i="1"/>
  <c r="AA128" i="1"/>
  <c r="Z128" i="1"/>
  <c r="Y128" i="1"/>
  <c r="X128" i="1"/>
  <c r="W128" i="1"/>
  <c r="V128" i="1"/>
  <c r="U128" i="1"/>
  <c r="T128" i="1"/>
  <c r="S128" i="1"/>
  <c r="R128" i="1"/>
  <c r="Q128" i="1"/>
  <c r="P128" i="1"/>
  <c r="O128" i="1"/>
  <c r="N128" i="1"/>
  <c r="M128" i="1"/>
  <c r="L128" i="1"/>
  <c r="K128" i="1"/>
  <c r="J128" i="1"/>
  <c r="I128" i="1"/>
  <c r="H128" i="1"/>
  <c r="NC127" i="1"/>
  <c r="NB127" i="1"/>
  <c r="NA127" i="1"/>
  <c r="MZ127" i="1"/>
  <c r="MY127" i="1"/>
  <c r="MX127" i="1"/>
  <c r="MW127" i="1"/>
  <c r="MV127" i="1"/>
  <c r="MU127" i="1"/>
  <c r="MT127" i="1"/>
  <c r="MS127" i="1"/>
  <c r="MR127" i="1"/>
  <c r="MQ127" i="1"/>
  <c r="MP127" i="1"/>
  <c r="MO127" i="1"/>
  <c r="MN127" i="1"/>
  <c r="MM127" i="1"/>
  <c r="ML127" i="1"/>
  <c r="MK127" i="1"/>
  <c r="MJ127" i="1"/>
  <c r="MI127" i="1"/>
  <c r="MH127" i="1"/>
  <c r="MG127" i="1"/>
  <c r="MF127" i="1"/>
  <c r="ME127" i="1"/>
  <c r="MD127" i="1"/>
  <c r="MC127" i="1"/>
  <c r="MB127" i="1"/>
  <c r="MA127" i="1"/>
  <c r="LZ127" i="1"/>
  <c r="LY127" i="1"/>
  <c r="LX127" i="1"/>
  <c r="LW127" i="1"/>
  <c r="LV127" i="1"/>
  <c r="LU127" i="1"/>
  <c r="LT127" i="1"/>
  <c r="LS127" i="1"/>
  <c r="LR127" i="1"/>
  <c r="LQ127" i="1"/>
  <c r="LP127" i="1"/>
  <c r="LO127" i="1"/>
  <c r="LN127" i="1"/>
  <c r="LM127" i="1"/>
  <c r="LL127" i="1"/>
  <c r="LK127" i="1"/>
  <c r="LJ127" i="1"/>
  <c r="LI127" i="1"/>
  <c r="LH127" i="1"/>
  <c r="LG127" i="1"/>
  <c r="LF127" i="1"/>
  <c r="LE127" i="1"/>
  <c r="LD127" i="1"/>
  <c r="LC127" i="1"/>
  <c r="LB127" i="1"/>
  <c r="LA127" i="1"/>
  <c r="KZ127" i="1"/>
  <c r="KY127" i="1"/>
  <c r="KX127" i="1"/>
  <c r="KW127" i="1"/>
  <c r="KV127" i="1"/>
  <c r="KU127" i="1"/>
  <c r="KT127" i="1"/>
  <c r="KS127" i="1"/>
  <c r="KR127" i="1"/>
  <c r="KQ127" i="1"/>
  <c r="KP127" i="1"/>
  <c r="KO127" i="1"/>
  <c r="KN127" i="1"/>
  <c r="KM127" i="1"/>
  <c r="KL127" i="1"/>
  <c r="KK127" i="1"/>
  <c r="KJ127" i="1"/>
  <c r="KI127" i="1"/>
  <c r="KH127" i="1"/>
  <c r="KG127" i="1"/>
  <c r="KF127" i="1"/>
  <c r="KE127" i="1"/>
  <c r="KD127" i="1"/>
  <c r="KC127" i="1"/>
  <c r="KB127" i="1"/>
  <c r="KA127" i="1"/>
  <c r="JZ127" i="1"/>
  <c r="JY127" i="1"/>
  <c r="JX127" i="1"/>
  <c r="JW127" i="1"/>
  <c r="JV127" i="1"/>
  <c r="JU127" i="1"/>
  <c r="JT127" i="1"/>
  <c r="JS127" i="1"/>
  <c r="JR127" i="1"/>
  <c r="JQ127" i="1"/>
  <c r="JP127" i="1"/>
  <c r="JO127" i="1"/>
  <c r="JN127" i="1"/>
  <c r="JM127" i="1"/>
  <c r="JL127" i="1"/>
  <c r="JK127" i="1"/>
  <c r="JJ127" i="1"/>
  <c r="JI127" i="1"/>
  <c r="JH127" i="1"/>
  <c r="JG127" i="1"/>
  <c r="JF127" i="1"/>
  <c r="JE127" i="1"/>
  <c r="JD127" i="1"/>
  <c r="JC127" i="1"/>
  <c r="JB127" i="1"/>
  <c r="JA127" i="1"/>
  <c r="IZ127" i="1"/>
  <c r="IY127" i="1"/>
  <c r="IX127" i="1"/>
  <c r="IW127" i="1"/>
  <c r="IV127" i="1"/>
  <c r="IU127" i="1"/>
  <c r="IT127" i="1"/>
  <c r="IS127" i="1"/>
  <c r="IR127" i="1"/>
  <c r="IQ127" i="1"/>
  <c r="IP127" i="1"/>
  <c r="IO127" i="1"/>
  <c r="IN127" i="1"/>
  <c r="IM127" i="1"/>
  <c r="IL127" i="1"/>
  <c r="IK127" i="1"/>
  <c r="IJ127" i="1"/>
  <c r="II127" i="1"/>
  <c r="IH127" i="1"/>
  <c r="IG127" i="1"/>
  <c r="IF127" i="1"/>
  <c r="IE127" i="1"/>
  <c r="ID127" i="1"/>
  <c r="IC127" i="1"/>
  <c r="IB127" i="1"/>
  <c r="IA127" i="1"/>
  <c r="HZ127" i="1"/>
  <c r="HY127" i="1"/>
  <c r="HX127" i="1"/>
  <c r="HW127" i="1"/>
  <c r="HV127" i="1"/>
  <c r="HU127" i="1"/>
  <c r="HT127" i="1"/>
  <c r="HS127" i="1"/>
  <c r="HR127" i="1"/>
  <c r="HQ127" i="1"/>
  <c r="HP127" i="1"/>
  <c r="HO127" i="1"/>
  <c r="HN127" i="1"/>
  <c r="HM127" i="1"/>
  <c r="HL127" i="1"/>
  <c r="HK127" i="1"/>
  <c r="HJ127" i="1"/>
  <c r="HI127" i="1"/>
  <c r="HH127" i="1"/>
  <c r="HG127" i="1"/>
  <c r="HF127" i="1"/>
  <c r="HE127" i="1"/>
  <c r="HD127" i="1"/>
  <c r="HC127" i="1"/>
  <c r="HB127" i="1"/>
  <c r="HA127" i="1"/>
  <c r="GZ127" i="1"/>
  <c r="GY127" i="1"/>
  <c r="GX127" i="1"/>
  <c r="GW127" i="1"/>
  <c r="GV127" i="1"/>
  <c r="GU127" i="1"/>
  <c r="GT127" i="1"/>
  <c r="GS127" i="1"/>
  <c r="GR127" i="1"/>
  <c r="GQ127" i="1"/>
  <c r="GP127" i="1"/>
  <c r="GO127" i="1"/>
  <c r="GN127" i="1"/>
  <c r="GM127" i="1"/>
  <c r="GL127" i="1"/>
  <c r="GK127" i="1"/>
  <c r="GJ127" i="1"/>
  <c r="GI127" i="1"/>
  <c r="GH127" i="1"/>
  <c r="GG127" i="1"/>
  <c r="GF127" i="1"/>
  <c r="GE127" i="1"/>
  <c r="GD127" i="1"/>
  <c r="GC127" i="1"/>
  <c r="GB127" i="1"/>
  <c r="GA127" i="1"/>
  <c r="FZ127" i="1"/>
  <c r="FY127" i="1"/>
  <c r="FX127" i="1"/>
  <c r="FW127" i="1"/>
  <c r="FV127" i="1"/>
  <c r="FU127" i="1"/>
  <c r="FT127" i="1"/>
  <c r="FS127" i="1"/>
  <c r="FR127" i="1"/>
  <c r="FQ127" i="1"/>
  <c r="FP127" i="1"/>
  <c r="FO127" i="1"/>
  <c r="FN127" i="1"/>
  <c r="FM127" i="1"/>
  <c r="FL127" i="1"/>
  <c r="FK127" i="1"/>
  <c r="FJ127" i="1"/>
  <c r="FI127" i="1"/>
  <c r="FH127" i="1"/>
  <c r="FG127" i="1"/>
  <c r="FF127" i="1"/>
  <c r="FE127" i="1"/>
  <c r="FD127" i="1"/>
  <c r="FC127" i="1"/>
  <c r="FB127" i="1"/>
  <c r="FA127" i="1"/>
  <c r="EZ127" i="1"/>
  <c r="EY127" i="1"/>
  <c r="EX127" i="1"/>
  <c r="EW127" i="1"/>
  <c r="EV127" i="1"/>
  <c r="EU127" i="1"/>
  <c r="ET127" i="1"/>
  <c r="ES127" i="1"/>
  <c r="ER127" i="1"/>
  <c r="EQ127" i="1"/>
  <c r="EP127" i="1"/>
  <c r="EO127" i="1"/>
  <c r="EN127" i="1"/>
  <c r="EM127" i="1"/>
  <c r="EL127" i="1"/>
  <c r="EK127" i="1"/>
  <c r="EJ127" i="1"/>
  <c r="EI127" i="1"/>
  <c r="EH127" i="1"/>
  <c r="EG127" i="1"/>
  <c r="EF127" i="1"/>
  <c r="EE127" i="1"/>
  <c r="ED127" i="1"/>
  <c r="EC127" i="1"/>
  <c r="EB127" i="1"/>
  <c r="EA127" i="1"/>
  <c r="DZ127" i="1"/>
  <c r="DY127" i="1"/>
  <c r="DX127" i="1"/>
  <c r="DW127" i="1"/>
  <c r="DV127" i="1"/>
  <c r="DU127" i="1"/>
  <c r="DT127" i="1"/>
  <c r="DS127" i="1"/>
  <c r="DR127" i="1"/>
  <c r="DQ127" i="1"/>
  <c r="DP127" i="1"/>
  <c r="DO127" i="1"/>
  <c r="DN127" i="1"/>
  <c r="DM127" i="1"/>
  <c r="DL127" i="1"/>
  <c r="DK127" i="1"/>
  <c r="DJ127" i="1"/>
  <c r="DI127" i="1"/>
  <c r="DH127" i="1"/>
  <c r="DG127" i="1"/>
  <c r="DF127" i="1"/>
  <c r="DE127" i="1"/>
  <c r="DD127" i="1"/>
  <c r="DC127" i="1"/>
  <c r="DB127" i="1"/>
  <c r="DA127" i="1"/>
  <c r="CZ127" i="1"/>
  <c r="CY127" i="1"/>
  <c r="CX127" i="1"/>
  <c r="CW127" i="1"/>
  <c r="CV127" i="1"/>
  <c r="CU127" i="1"/>
  <c r="CT127" i="1"/>
  <c r="CS127" i="1"/>
  <c r="CR127" i="1"/>
  <c r="CQ127" i="1"/>
  <c r="CP127" i="1"/>
  <c r="CO127" i="1"/>
  <c r="CN127" i="1"/>
  <c r="CM127" i="1"/>
  <c r="CL127" i="1"/>
  <c r="CK127" i="1"/>
  <c r="CJ127" i="1"/>
  <c r="CI127" i="1"/>
  <c r="CH127" i="1"/>
  <c r="CG127" i="1"/>
  <c r="CF127" i="1"/>
  <c r="CE127" i="1"/>
  <c r="CD127" i="1"/>
  <c r="CC127" i="1"/>
  <c r="CB127" i="1"/>
  <c r="CA127" i="1"/>
  <c r="BZ127" i="1"/>
  <c r="BY127" i="1"/>
  <c r="BX127" i="1"/>
  <c r="BW127" i="1"/>
  <c r="BV127" i="1"/>
  <c r="BU127" i="1"/>
  <c r="BT127" i="1"/>
  <c r="BS127" i="1"/>
  <c r="BR127" i="1"/>
  <c r="BQ127" i="1"/>
  <c r="BP127" i="1"/>
  <c r="BO127" i="1"/>
  <c r="BN127" i="1"/>
  <c r="BM127" i="1"/>
  <c r="BL127" i="1"/>
  <c r="BK127" i="1"/>
  <c r="BJ127" i="1"/>
  <c r="BI127" i="1"/>
  <c r="BH127" i="1"/>
  <c r="BG127" i="1"/>
  <c r="BF127" i="1"/>
  <c r="BE127" i="1"/>
  <c r="BD127" i="1"/>
  <c r="BC127" i="1"/>
  <c r="BB127" i="1"/>
  <c r="BA127" i="1"/>
  <c r="AZ127" i="1"/>
  <c r="AY127" i="1"/>
  <c r="AX127" i="1"/>
  <c r="AW127" i="1"/>
  <c r="AV127" i="1"/>
  <c r="AU127" i="1"/>
  <c r="AT127" i="1"/>
  <c r="AS127" i="1"/>
  <c r="AR127" i="1"/>
  <c r="AQ127" i="1"/>
  <c r="AP127" i="1"/>
  <c r="AO127" i="1"/>
  <c r="AN127" i="1"/>
  <c r="AM127" i="1"/>
  <c r="AL127" i="1"/>
  <c r="AK127" i="1"/>
  <c r="AJ127" i="1"/>
  <c r="AI127" i="1"/>
  <c r="AH127" i="1"/>
  <c r="AG127" i="1"/>
  <c r="AF127" i="1"/>
  <c r="AE127" i="1"/>
  <c r="AD127" i="1"/>
  <c r="AC127" i="1"/>
  <c r="AB127" i="1"/>
  <c r="AA127" i="1"/>
  <c r="Z127" i="1"/>
  <c r="Y127" i="1"/>
  <c r="X127" i="1"/>
  <c r="W127" i="1"/>
  <c r="V127" i="1"/>
  <c r="U127" i="1"/>
  <c r="T127" i="1"/>
  <c r="S127" i="1"/>
  <c r="R127" i="1"/>
  <c r="Q127" i="1"/>
  <c r="P127" i="1"/>
  <c r="O127" i="1"/>
  <c r="N127" i="1"/>
  <c r="M127" i="1"/>
  <c r="L127" i="1"/>
  <c r="K127" i="1"/>
  <c r="J127" i="1"/>
  <c r="I127" i="1"/>
  <c r="H127" i="1"/>
  <c r="G130" i="1"/>
  <c r="F130" i="1"/>
  <c r="E130" i="1"/>
  <c r="G129" i="1"/>
  <c r="F129" i="1"/>
  <c r="E129" i="1"/>
  <c r="G128" i="1"/>
  <c r="F128" i="1"/>
  <c r="E128" i="1"/>
  <c r="G127" i="1"/>
  <c r="F127" i="1"/>
  <c r="E127" i="1"/>
  <c r="D130" i="1"/>
  <c r="D129" i="1"/>
  <c r="D128" i="1"/>
  <c r="D127" i="1"/>
  <c r="C130" i="1"/>
  <c r="C129" i="1"/>
  <c r="C128" i="1"/>
  <c r="C127" i="1"/>
  <c r="NC125" i="1"/>
  <c r="NB125" i="1"/>
  <c r="NA125" i="1"/>
  <c r="MZ125" i="1"/>
  <c r="MY125" i="1"/>
  <c r="MX125" i="1"/>
  <c r="MW125" i="1"/>
  <c r="MV125" i="1"/>
  <c r="MU125" i="1"/>
  <c r="MT125" i="1"/>
  <c r="MS125" i="1"/>
  <c r="MR125" i="1"/>
  <c r="MQ125" i="1"/>
  <c r="MP125" i="1"/>
  <c r="MO125" i="1"/>
  <c r="MN125" i="1"/>
  <c r="MM125" i="1"/>
  <c r="ML125" i="1"/>
  <c r="MK125" i="1"/>
  <c r="MJ125" i="1"/>
  <c r="MI125" i="1"/>
  <c r="MH125" i="1"/>
  <c r="MG125" i="1"/>
  <c r="MF125" i="1"/>
  <c r="ME125" i="1"/>
  <c r="MD125" i="1"/>
  <c r="MC125" i="1"/>
  <c r="MB125" i="1"/>
  <c r="MA125" i="1"/>
  <c r="LZ125" i="1"/>
  <c r="LY125" i="1"/>
  <c r="LX125" i="1"/>
  <c r="LW125" i="1"/>
  <c r="LV125" i="1"/>
  <c r="LU125" i="1"/>
  <c r="LT125" i="1"/>
  <c r="LS125" i="1"/>
  <c r="LR125" i="1"/>
  <c r="LQ125" i="1"/>
  <c r="LP125" i="1"/>
  <c r="LO125" i="1"/>
  <c r="LN125" i="1"/>
  <c r="LM125" i="1"/>
  <c r="LL125" i="1"/>
  <c r="LK125" i="1"/>
  <c r="LJ125" i="1"/>
  <c r="LI125" i="1"/>
  <c r="LH125" i="1"/>
  <c r="LG125" i="1"/>
  <c r="LF125" i="1"/>
  <c r="LE125" i="1"/>
  <c r="LD125" i="1"/>
  <c r="LC125" i="1"/>
  <c r="LB125" i="1"/>
  <c r="LA125" i="1"/>
  <c r="KZ125" i="1"/>
  <c r="KY125" i="1"/>
  <c r="KX125" i="1"/>
  <c r="KW125" i="1"/>
  <c r="KV125" i="1"/>
  <c r="KU125" i="1"/>
  <c r="KT125" i="1"/>
  <c r="KS125" i="1"/>
  <c r="KR125" i="1"/>
  <c r="KQ125" i="1"/>
  <c r="KP125" i="1"/>
  <c r="KO125" i="1"/>
  <c r="KN125" i="1"/>
  <c r="KM125" i="1"/>
  <c r="KL125" i="1"/>
  <c r="KK125" i="1"/>
  <c r="KJ125" i="1"/>
  <c r="KI125" i="1"/>
  <c r="KH125" i="1"/>
  <c r="KG125" i="1"/>
  <c r="KF125" i="1"/>
  <c r="KE125" i="1"/>
  <c r="KD125" i="1"/>
  <c r="KC125" i="1"/>
  <c r="KB125" i="1"/>
  <c r="KA125" i="1"/>
  <c r="JZ125" i="1"/>
  <c r="JY125" i="1"/>
  <c r="JX125" i="1"/>
  <c r="JW125" i="1"/>
  <c r="JV125" i="1"/>
  <c r="JU125" i="1"/>
  <c r="JT125" i="1"/>
  <c r="JS125" i="1"/>
  <c r="JR125" i="1"/>
  <c r="JQ125" i="1"/>
  <c r="JP125" i="1"/>
  <c r="JO125" i="1"/>
  <c r="JN125" i="1"/>
  <c r="JM125" i="1"/>
  <c r="JL125" i="1"/>
  <c r="JK125" i="1"/>
  <c r="JJ125" i="1"/>
  <c r="JI125" i="1"/>
  <c r="JH125" i="1"/>
  <c r="JG125" i="1"/>
  <c r="JF125" i="1"/>
  <c r="JE125" i="1"/>
  <c r="JD125" i="1"/>
  <c r="JC125" i="1"/>
  <c r="JB125" i="1"/>
  <c r="JA125" i="1"/>
  <c r="IZ125" i="1"/>
  <c r="IY125" i="1"/>
  <c r="IX125" i="1"/>
  <c r="IW125" i="1"/>
  <c r="IV125" i="1"/>
  <c r="IU125" i="1"/>
  <c r="IT125" i="1"/>
  <c r="IS125" i="1"/>
  <c r="IR125" i="1"/>
  <c r="IQ125" i="1"/>
  <c r="IP125" i="1"/>
  <c r="IO125" i="1"/>
  <c r="IN125" i="1"/>
  <c r="IM125" i="1"/>
  <c r="IL125" i="1"/>
  <c r="IK125" i="1"/>
  <c r="IJ125" i="1"/>
  <c r="II125" i="1"/>
  <c r="IH125" i="1"/>
  <c r="IG125" i="1"/>
  <c r="IF125" i="1"/>
  <c r="IE125" i="1"/>
  <c r="ID125" i="1"/>
  <c r="IC125" i="1"/>
  <c r="IB125" i="1"/>
  <c r="IA125" i="1"/>
  <c r="HZ125" i="1"/>
  <c r="HY125" i="1"/>
  <c r="HX125" i="1"/>
  <c r="HW125" i="1"/>
  <c r="HV125" i="1"/>
  <c r="HU125" i="1"/>
  <c r="HT125" i="1"/>
  <c r="HS125" i="1"/>
  <c r="HR125" i="1"/>
  <c r="HQ125" i="1"/>
  <c r="HP125" i="1"/>
  <c r="HO125" i="1"/>
  <c r="HN125" i="1"/>
  <c r="HM125" i="1"/>
  <c r="HL125" i="1"/>
  <c r="HK125" i="1"/>
  <c r="HJ125" i="1"/>
  <c r="HI125" i="1"/>
  <c r="HH125" i="1"/>
  <c r="HG125" i="1"/>
  <c r="HF125" i="1"/>
  <c r="HE125" i="1"/>
  <c r="HD125" i="1"/>
  <c r="HC125" i="1"/>
  <c r="HB125" i="1"/>
  <c r="HA125" i="1"/>
  <c r="GZ125" i="1"/>
  <c r="GY125" i="1"/>
  <c r="GX125" i="1"/>
  <c r="GW125" i="1"/>
  <c r="GV125" i="1"/>
  <c r="GU125" i="1"/>
  <c r="GT125" i="1"/>
  <c r="GS125" i="1"/>
  <c r="GR125" i="1"/>
  <c r="GQ125" i="1"/>
  <c r="GP125" i="1"/>
  <c r="GO125" i="1"/>
  <c r="GN125" i="1"/>
  <c r="GM125" i="1"/>
  <c r="GL125" i="1"/>
  <c r="GK125" i="1"/>
  <c r="GJ125" i="1"/>
  <c r="GI125" i="1"/>
  <c r="GH125" i="1"/>
  <c r="GG125" i="1"/>
  <c r="GF125" i="1"/>
  <c r="GE125" i="1"/>
  <c r="GD125" i="1"/>
  <c r="GC125" i="1"/>
  <c r="GB125" i="1"/>
  <c r="GA125" i="1"/>
  <c r="FZ125" i="1"/>
  <c r="FY125" i="1"/>
  <c r="FX125" i="1"/>
  <c r="FW125" i="1"/>
  <c r="FV125" i="1"/>
  <c r="FU125" i="1"/>
  <c r="FT125" i="1"/>
  <c r="FS125" i="1"/>
  <c r="FR125" i="1"/>
  <c r="FQ125" i="1"/>
  <c r="FP125" i="1"/>
  <c r="FO125" i="1"/>
  <c r="FN125" i="1"/>
  <c r="FM125" i="1"/>
  <c r="FL125" i="1"/>
  <c r="FK125" i="1"/>
  <c r="FJ125" i="1"/>
  <c r="FI125" i="1"/>
  <c r="FH125" i="1"/>
  <c r="FG125" i="1"/>
  <c r="FF125" i="1"/>
  <c r="FE125" i="1"/>
  <c r="FD125" i="1"/>
  <c r="FC125" i="1"/>
  <c r="FB125" i="1"/>
  <c r="FA125" i="1"/>
  <c r="EZ125" i="1"/>
  <c r="EY125" i="1"/>
  <c r="EX125" i="1"/>
  <c r="EW125" i="1"/>
  <c r="EV125" i="1"/>
  <c r="EU125" i="1"/>
  <c r="ET125" i="1"/>
  <c r="ES125" i="1"/>
  <c r="ER125" i="1"/>
  <c r="EQ125" i="1"/>
  <c r="EP125" i="1"/>
  <c r="EO125" i="1"/>
  <c r="EN125" i="1"/>
  <c r="EM125" i="1"/>
  <c r="EL125" i="1"/>
  <c r="EK125" i="1"/>
  <c r="EJ125" i="1"/>
  <c r="EI125" i="1"/>
  <c r="EH125" i="1"/>
  <c r="EG125" i="1"/>
  <c r="EF125" i="1"/>
  <c r="EE125" i="1"/>
  <c r="ED125" i="1"/>
  <c r="EC125" i="1"/>
  <c r="EB125" i="1"/>
  <c r="EA125" i="1"/>
  <c r="DZ125" i="1"/>
  <c r="DY125" i="1"/>
  <c r="DX125" i="1"/>
  <c r="DW125" i="1"/>
  <c r="DV125" i="1"/>
  <c r="DU125" i="1"/>
  <c r="DT125" i="1"/>
  <c r="DS125" i="1"/>
  <c r="DR125" i="1"/>
  <c r="DQ125" i="1"/>
  <c r="DP125" i="1"/>
  <c r="DO125" i="1"/>
  <c r="DN125" i="1"/>
  <c r="DM125" i="1"/>
  <c r="DL125" i="1"/>
  <c r="DK125" i="1"/>
  <c r="DJ125" i="1"/>
  <c r="DI125" i="1"/>
  <c r="DH125" i="1"/>
  <c r="DG125" i="1"/>
  <c r="DF125" i="1"/>
  <c r="DE125" i="1"/>
  <c r="DD125" i="1"/>
  <c r="DC125" i="1"/>
  <c r="DB125" i="1"/>
  <c r="DA125" i="1"/>
  <c r="CZ125" i="1"/>
  <c r="CY125" i="1"/>
  <c r="CX125" i="1"/>
  <c r="CW125" i="1"/>
  <c r="CV125" i="1"/>
  <c r="CU125" i="1"/>
  <c r="CT125" i="1"/>
  <c r="CS125" i="1"/>
  <c r="CR125" i="1"/>
  <c r="CQ125" i="1"/>
  <c r="CP125" i="1"/>
  <c r="CO125" i="1"/>
  <c r="CN125" i="1"/>
  <c r="CM125" i="1"/>
  <c r="CL125" i="1"/>
  <c r="CK125" i="1"/>
  <c r="CJ125" i="1"/>
  <c r="CI125" i="1"/>
  <c r="CH125" i="1"/>
  <c r="CG125" i="1"/>
  <c r="CF125" i="1"/>
  <c r="CE125" i="1"/>
  <c r="CD125" i="1"/>
  <c r="CC125" i="1"/>
  <c r="CB125" i="1"/>
  <c r="CA125" i="1"/>
  <c r="BZ125" i="1"/>
  <c r="BY125" i="1"/>
  <c r="BX125" i="1"/>
  <c r="BW125" i="1"/>
  <c r="BV125" i="1"/>
  <c r="BU125" i="1"/>
  <c r="BT125" i="1"/>
  <c r="BS125" i="1"/>
  <c r="BR125" i="1"/>
  <c r="BQ125" i="1"/>
  <c r="BP125" i="1"/>
  <c r="BO125" i="1"/>
  <c r="BN125" i="1"/>
  <c r="BM125" i="1"/>
  <c r="BL125" i="1"/>
  <c r="BK125" i="1"/>
  <c r="BJ125" i="1"/>
  <c r="BI125" i="1"/>
  <c r="BH125" i="1"/>
  <c r="BG125" i="1"/>
  <c r="BF125" i="1"/>
  <c r="BE125" i="1"/>
  <c r="BD125" i="1"/>
  <c r="BC125" i="1"/>
  <c r="BB125" i="1"/>
  <c r="BA125" i="1"/>
  <c r="AZ125" i="1"/>
  <c r="AY125" i="1"/>
  <c r="AX125" i="1"/>
  <c r="AW125" i="1"/>
  <c r="AV125" i="1"/>
  <c r="AU125" i="1"/>
  <c r="AT125" i="1"/>
  <c r="AS125" i="1"/>
  <c r="AR125" i="1"/>
  <c r="AQ125" i="1"/>
  <c r="AP125" i="1"/>
  <c r="AO125" i="1"/>
  <c r="AN125" i="1"/>
  <c r="AM125" i="1"/>
  <c r="AL125" i="1"/>
  <c r="AK125" i="1"/>
  <c r="AJ125" i="1"/>
  <c r="AI125" i="1"/>
  <c r="AH125" i="1"/>
  <c r="AG125" i="1"/>
  <c r="AF125" i="1"/>
  <c r="AE125" i="1"/>
  <c r="AD125" i="1"/>
  <c r="AC125" i="1"/>
  <c r="AB125" i="1"/>
  <c r="AA125" i="1"/>
  <c r="Z125" i="1"/>
  <c r="Y125" i="1"/>
  <c r="X125" i="1"/>
  <c r="W125" i="1"/>
  <c r="V125" i="1"/>
  <c r="U125" i="1"/>
  <c r="T125" i="1"/>
  <c r="S125" i="1"/>
  <c r="R125" i="1"/>
  <c r="Q125" i="1"/>
  <c r="P125" i="1"/>
  <c r="O125" i="1"/>
  <c r="N125" i="1"/>
  <c r="M125" i="1"/>
  <c r="L125" i="1"/>
  <c r="K125" i="1"/>
  <c r="J125" i="1"/>
  <c r="I125" i="1"/>
  <c r="H125" i="1"/>
  <c r="G125" i="1"/>
  <c r="F125" i="1"/>
  <c r="E125" i="1"/>
  <c r="D125" i="1"/>
  <c r="C125" i="1"/>
  <c r="D130" i="8"/>
  <c r="C211" i="9"/>
  <c r="C209" i="9"/>
  <c r="C208" i="9"/>
  <c r="C207" i="9"/>
  <c r="C206" i="9"/>
  <c r="C205" i="9"/>
  <c r="C203" i="9"/>
  <c r="C202" i="9"/>
  <c r="C201" i="9"/>
  <c r="C200" i="9"/>
  <c r="C198" i="9"/>
  <c r="C197" i="9"/>
  <c r="C196" i="9"/>
  <c r="C195" i="9"/>
  <c r="C194" i="9"/>
  <c r="C193" i="9"/>
  <c r="C192" i="9"/>
  <c r="C190" i="9"/>
  <c r="C189" i="9"/>
  <c r="C188" i="9"/>
  <c r="C187" i="9"/>
  <c r="C186" i="9"/>
  <c r="C185" i="9"/>
  <c r="C184" i="9"/>
  <c r="C183" i="9"/>
  <c r="C182" i="9"/>
  <c r="C181" i="9"/>
  <c r="C180" i="9"/>
  <c r="BC173" i="9"/>
  <c r="BB173" i="9"/>
  <c r="BA173" i="9"/>
  <c r="AZ173" i="9"/>
  <c r="AY173" i="9"/>
  <c r="AX173" i="9"/>
  <c r="AW173" i="9"/>
  <c r="AV173" i="9"/>
  <c r="AU173" i="9"/>
  <c r="AT173" i="9"/>
  <c r="AS173" i="9"/>
  <c r="AR173" i="9"/>
  <c r="AQ173" i="9"/>
  <c r="AP173" i="9"/>
  <c r="AO173" i="9"/>
  <c r="AN173" i="9"/>
  <c r="AM173" i="9"/>
  <c r="AL173" i="9"/>
  <c r="AK173" i="9"/>
  <c r="AJ173" i="9"/>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C173" i="9"/>
  <c r="BE173" i="9" s="1"/>
  <c r="BC172" i="9"/>
  <c r="BB172" i="9"/>
  <c r="BA172" i="9"/>
  <c r="AZ172" i="9"/>
  <c r="AY172" i="9"/>
  <c r="AX172" i="9"/>
  <c r="AW172" i="9"/>
  <c r="AV172" i="9"/>
  <c r="AU172" i="9"/>
  <c r="AT172" i="9"/>
  <c r="AS172" i="9"/>
  <c r="AR172" i="9"/>
  <c r="AQ172" i="9"/>
  <c r="AP172" i="9"/>
  <c r="AO172" i="9"/>
  <c r="AN172" i="9"/>
  <c r="AM172" i="9"/>
  <c r="AL172" i="9"/>
  <c r="AK172" i="9"/>
  <c r="AJ172" i="9"/>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C172" i="9"/>
  <c r="BE172" i="9" s="1"/>
  <c r="BC169" i="9"/>
  <c r="BB169" i="9"/>
  <c r="BA169" i="9"/>
  <c r="AZ169" i="9"/>
  <c r="AY169" i="9"/>
  <c r="AX169" i="9"/>
  <c r="AW169" i="9"/>
  <c r="AV169" i="9"/>
  <c r="AU169" i="9"/>
  <c r="AT169" i="9"/>
  <c r="AS169" i="9"/>
  <c r="AR169" i="9"/>
  <c r="AQ169" i="9"/>
  <c r="AP169" i="9"/>
  <c r="AO169" i="9"/>
  <c r="AN169" i="9"/>
  <c r="AM169" i="9"/>
  <c r="AL169" i="9"/>
  <c r="AK169" i="9"/>
  <c r="AJ169" i="9"/>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C169" i="9"/>
  <c r="BE169" i="9" s="1"/>
  <c r="BC168" i="9"/>
  <c r="BB168" i="9"/>
  <c r="BA168" i="9"/>
  <c r="AZ168" i="9"/>
  <c r="AY168" i="9"/>
  <c r="AX168" i="9"/>
  <c r="AW168" i="9"/>
  <c r="AV168" i="9"/>
  <c r="AU168" i="9"/>
  <c r="AT168" i="9"/>
  <c r="AS168" i="9"/>
  <c r="AR168" i="9"/>
  <c r="AQ168" i="9"/>
  <c r="AP168" i="9"/>
  <c r="AO168" i="9"/>
  <c r="AN168" i="9"/>
  <c r="AM168" i="9"/>
  <c r="AL168" i="9"/>
  <c r="AK168" i="9"/>
  <c r="AJ168" i="9"/>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C168" i="9"/>
  <c r="BE168" i="9" s="1"/>
  <c r="BC167" i="9"/>
  <c r="BB167" i="9"/>
  <c r="BA167" i="9"/>
  <c r="AZ167" i="9"/>
  <c r="AY167" i="9"/>
  <c r="AX167" i="9"/>
  <c r="AW167" i="9"/>
  <c r="AV167" i="9"/>
  <c r="AU167" i="9"/>
  <c r="AT167" i="9"/>
  <c r="AS167" i="9"/>
  <c r="AR167" i="9"/>
  <c r="AQ167" i="9"/>
  <c r="AP167" i="9"/>
  <c r="AO167" i="9"/>
  <c r="AN167" i="9"/>
  <c r="AM167" i="9"/>
  <c r="AL167" i="9"/>
  <c r="AK167" i="9"/>
  <c r="AJ167" i="9"/>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C167" i="9"/>
  <c r="BE167" i="9" s="1"/>
  <c r="BC166" i="9"/>
  <c r="BB166" i="9"/>
  <c r="BA166" i="9"/>
  <c r="AZ166" i="9"/>
  <c r="AY166" i="9"/>
  <c r="AX166" i="9"/>
  <c r="AW166" i="9"/>
  <c r="AV166" i="9"/>
  <c r="AU166" i="9"/>
  <c r="AT166" i="9"/>
  <c r="AS166" i="9"/>
  <c r="AR166" i="9"/>
  <c r="AQ166" i="9"/>
  <c r="AP166" i="9"/>
  <c r="AO166" i="9"/>
  <c r="AN166" i="9"/>
  <c r="AM166" i="9"/>
  <c r="AL166" i="9"/>
  <c r="AK166" i="9"/>
  <c r="AJ166" i="9"/>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C166" i="9"/>
  <c r="BE166" i="9" s="1"/>
  <c r="BC165" i="9"/>
  <c r="BB165" i="9"/>
  <c r="BA165" i="9"/>
  <c r="AZ165" i="9"/>
  <c r="AY165" i="9"/>
  <c r="AX165" i="9"/>
  <c r="AW165" i="9"/>
  <c r="AV165" i="9"/>
  <c r="AU165" i="9"/>
  <c r="AT165" i="9"/>
  <c r="AS165" i="9"/>
  <c r="AR165" i="9"/>
  <c r="AQ165" i="9"/>
  <c r="AP165" i="9"/>
  <c r="AO165" i="9"/>
  <c r="AN165" i="9"/>
  <c r="AM165" i="9"/>
  <c r="AL165" i="9"/>
  <c r="AK165" i="9"/>
  <c r="AJ165" i="9"/>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C165" i="9"/>
  <c r="BE165" i="9" s="1"/>
  <c r="BC164" i="9"/>
  <c r="BB164" i="9"/>
  <c r="BA164" i="9"/>
  <c r="AZ164" i="9"/>
  <c r="AY164" i="9"/>
  <c r="AX164" i="9"/>
  <c r="AW164" i="9"/>
  <c r="AV164" i="9"/>
  <c r="AU164" i="9"/>
  <c r="AT164" i="9"/>
  <c r="AS164" i="9"/>
  <c r="AR164" i="9"/>
  <c r="AQ164" i="9"/>
  <c r="AP164" i="9"/>
  <c r="AO164" i="9"/>
  <c r="AN164" i="9"/>
  <c r="AM164" i="9"/>
  <c r="AL164" i="9"/>
  <c r="AK164" i="9"/>
  <c r="AJ164" i="9"/>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C164" i="9"/>
  <c r="BC162" i="9"/>
  <c r="BB162" i="9"/>
  <c r="BA162" i="9"/>
  <c r="AZ162" i="9"/>
  <c r="AY162" i="9"/>
  <c r="AX162" i="9"/>
  <c r="AW162" i="9"/>
  <c r="AV162" i="9"/>
  <c r="AU162" i="9"/>
  <c r="AT162" i="9"/>
  <c r="AS162" i="9"/>
  <c r="AR162" i="9"/>
  <c r="AQ162" i="9"/>
  <c r="AP162" i="9"/>
  <c r="AO162" i="9"/>
  <c r="AN162" i="9"/>
  <c r="AM162" i="9"/>
  <c r="AL162" i="9"/>
  <c r="AK162" i="9"/>
  <c r="AJ162" i="9"/>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C162" i="9"/>
  <c r="BE162" i="9" s="1"/>
  <c r="BC161" i="9"/>
  <c r="BB161" i="9"/>
  <c r="BA161" i="9"/>
  <c r="AZ161" i="9"/>
  <c r="AY161" i="9"/>
  <c r="AX161" i="9"/>
  <c r="AW161" i="9"/>
  <c r="AV161" i="9"/>
  <c r="AU161" i="9"/>
  <c r="AT161" i="9"/>
  <c r="AS161" i="9"/>
  <c r="AR161" i="9"/>
  <c r="AQ161" i="9"/>
  <c r="AP161" i="9"/>
  <c r="AO161" i="9"/>
  <c r="AN161" i="9"/>
  <c r="AM161" i="9"/>
  <c r="AL161" i="9"/>
  <c r="AK161" i="9"/>
  <c r="AJ161" i="9"/>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C161" i="9"/>
  <c r="BE161" i="9" s="1"/>
  <c r="BC159" i="9"/>
  <c r="BB159" i="9"/>
  <c r="BA159" i="9"/>
  <c r="AZ159" i="9"/>
  <c r="AY159" i="9"/>
  <c r="AX159" i="9"/>
  <c r="AW159" i="9"/>
  <c r="AV159" i="9"/>
  <c r="AU159" i="9"/>
  <c r="AT159" i="9"/>
  <c r="AS159" i="9"/>
  <c r="AR159" i="9"/>
  <c r="AQ159" i="9"/>
  <c r="AP159" i="9"/>
  <c r="AO159" i="9"/>
  <c r="AN159" i="9"/>
  <c r="AM159" i="9"/>
  <c r="AL159" i="9"/>
  <c r="AK159" i="9"/>
  <c r="AJ159" i="9"/>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C159" i="9"/>
  <c r="BE159" i="9" s="1"/>
  <c r="BC158" i="9"/>
  <c r="BB158" i="9"/>
  <c r="BA158" i="9"/>
  <c r="AZ158" i="9"/>
  <c r="AY158" i="9"/>
  <c r="AX158" i="9"/>
  <c r="AW158" i="9"/>
  <c r="AV158" i="9"/>
  <c r="AU158" i="9"/>
  <c r="AT158" i="9"/>
  <c r="AS158" i="9"/>
  <c r="AR158" i="9"/>
  <c r="AQ158" i="9"/>
  <c r="AP158" i="9"/>
  <c r="AO158" i="9"/>
  <c r="AN158" i="9"/>
  <c r="AM158" i="9"/>
  <c r="AL158" i="9"/>
  <c r="AK158" i="9"/>
  <c r="AJ158" i="9"/>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C158" i="9"/>
  <c r="BE158" i="9" s="1"/>
  <c r="BC157" i="9"/>
  <c r="BB157" i="9"/>
  <c r="BA157" i="9"/>
  <c r="AZ157" i="9"/>
  <c r="AY157" i="9"/>
  <c r="AX157" i="9"/>
  <c r="AW157" i="9"/>
  <c r="AV157" i="9"/>
  <c r="AU157" i="9"/>
  <c r="AT157" i="9"/>
  <c r="AS157" i="9"/>
  <c r="AR157" i="9"/>
  <c r="AQ157" i="9"/>
  <c r="AP157" i="9"/>
  <c r="AO157" i="9"/>
  <c r="AN157" i="9"/>
  <c r="AM157" i="9"/>
  <c r="AL157" i="9"/>
  <c r="AK157" i="9"/>
  <c r="AJ157" i="9"/>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C157" i="9"/>
  <c r="BC155" i="9"/>
  <c r="BB155" i="9"/>
  <c r="BA155" i="9"/>
  <c r="AZ155" i="9"/>
  <c r="AY155" i="9"/>
  <c r="AX155" i="9"/>
  <c r="AW155" i="9"/>
  <c r="AV155" i="9"/>
  <c r="AU155" i="9"/>
  <c r="AT155" i="9"/>
  <c r="AS155" i="9"/>
  <c r="AR155" i="9"/>
  <c r="AQ155" i="9"/>
  <c r="AP155" i="9"/>
  <c r="AO155" i="9"/>
  <c r="AN155" i="9"/>
  <c r="AM155" i="9"/>
  <c r="AL155" i="9"/>
  <c r="AK155" i="9"/>
  <c r="AJ155" i="9"/>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C155" i="9"/>
  <c r="BE155" i="9" s="1"/>
  <c r="BC154" i="9"/>
  <c r="BB154" i="9"/>
  <c r="BA154" i="9"/>
  <c r="AZ154" i="9"/>
  <c r="AY154" i="9"/>
  <c r="AX154" i="9"/>
  <c r="AW154" i="9"/>
  <c r="AV154" i="9"/>
  <c r="AU154" i="9"/>
  <c r="AT154" i="9"/>
  <c r="AS154" i="9"/>
  <c r="AR154" i="9"/>
  <c r="AQ154" i="9"/>
  <c r="AP154" i="9"/>
  <c r="AO154" i="9"/>
  <c r="AN154" i="9"/>
  <c r="AM154" i="9"/>
  <c r="AL154" i="9"/>
  <c r="AK154" i="9"/>
  <c r="AJ154" i="9"/>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C154" i="9"/>
  <c r="BE154" i="9" s="1"/>
  <c r="BC153" i="9"/>
  <c r="BB153" i="9"/>
  <c r="BA153" i="9"/>
  <c r="AZ153" i="9"/>
  <c r="AY153" i="9"/>
  <c r="AX153" i="9"/>
  <c r="AW153" i="9"/>
  <c r="AV153" i="9"/>
  <c r="AU153" i="9"/>
  <c r="AT153" i="9"/>
  <c r="AS153" i="9"/>
  <c r="AR153" i="9"/>
  <c r="AQ153" i="9"/>
  <c r="AP153" i="9"/>
  <c r="AO153" i="9"/>
  <c r="AN153" i="9"/>
  <c r="AM153" i="9"/>
  <c r="AL153" i="9"/>
  <c r="AK153" i="9"/>
  <c r="AJ153" i="9"/>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C153" i="9"/>
  <c r="BC151" i="9"/>
  <c r="BB151" i="9"/>
  <c r="BA151" i="9"/>
  <c r="AZ151" i="9"/>
  <c r="AY151" i="9"/>
  <c r="AX151" i="9"/>
  <c r="AW151" i="9"/>
  <c r="AV151" i="9"/>
  <c r="AU151" i="9"/>
  <c r="AT151" i="9"/>
  <c r="AS151" i="9"/>
  <c r="AR151" i="9"/>
  <c r="AQ151" i="9"/>
  <c r="AP151" i="9"/>
  <c r="AO151" i="9"/>
  <c r="AN151" i="9"/>
  <c r="AM151" i="9"/>
  <c r="AL151" i="9"/>
  <c r="AK151" i="9"/>
  <c r="AJ151" i="9"/>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C151" i="9"/>
  <c r="BE151" i="9" s="1"/>
  <c r="BC150" i="9"/>
  <c r="BB150" i="9"/>
  <c r="BA150" i="9"/>
  <c r="AZ150" i="9"/>
  <c r="AY150" i="9"/>
  <c r="AX150" i="9"/>
  <c r="AW150" i="9"/>
  <c r="AV150" i="9"/>
  <c r="AU150" i="9"/>
  <c r="AT150" i="9"/>
  <c r="AS150" i="9"/>
  <c r="AR150" i="9"/>
  <c r="AQ150" i="9"/>
  <c r="AP150" i="9"/>
  <c r="AO150" i="9"/>
  <c r="AN150" i="9"/>
  <c r="AM150" i="9"/>
  <c r="AL150" i="9"/>
  <c r="AK150" i="9"/>
  <c r="AJ150" i="9"/>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C150" i="9"/>
  <c r="BE150" i="9" s="1"/>
  <c r="BC149" i="9"/>
  <c r="BB149" i="9"/>
  <c r="BA149" i="9"/>
  <c r="AZ149" i="9"/>
  <c r="AY149" i="9"/>
  <c r="AX149" i="9"/>
  <c r="AW149" i="9"/>
  <c r="AV149" i="9"/>
  <c r="AU149" i="9"/>
  <c r="AT149" i="9"/>
  <c r="AS149" i="9"/>
  <c r="AR149" i="9"/>
  <c r="AQ149" i="9"/>
  <c r="AP149" i="9"/>
  <c r="AO149" i="9"/>
  <c r="AN149" i="9"/>
  <c r="AM149" i="9"/>
  <c r="AL149" i="9"/>
  <c r="AK149" i="9"/>
  <c r="AJ149" i="9"/>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C149" i="9"/>
  <c r="BE149" i="9" s="1"/>
  <c r="BC148" i="9"/>
  <c r="BB148" i="9"/>
  <c r="BA148" i="9"/>
  <c r="AZ148" i="9"/>
  <c r="AY148" i="9"/>
  <c r="AX148" i="9"/>
  <c r="AW148" i="9"/>
  <c r="AV148" i="9"/>
  <c r="AU148" i="9"/>
  <c r="AT148" i="9"/>
  <c r="AS148" i="9"/>
  <c r="AR148" i="9"/>
  <c r="AQ148" i="9"/>
  <c r="AP148" i="9"/>
  <c r="AO148" i="9"/>
  <c r="AN148" i="9"/>
  <c r="AM148" i="9"/>
  <c r="AL148" i="9"/>
  <c r="AK148" i="9"/>
  <c r="AJ148" i="9"/>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C148" i="9"/>
  <c r="BC146" i="9"/>
  <c r="BB146" i="9"/>
  <c r="BA146" i="9"/>
  <c r="AZ146" i="9"/>
  <c r="AY146" i="9"/>
  <c r="AX146" i="9"/>
  <c r="AW146" i="9"/>
  <c r="AV146" i="9"/>
  <c r="AU146" i="9"/>
  <c r="AT146" i="9"/>
  <c r="AS146" i="9"/>
  <c r="AR146" i="9"/>
  <c r="AQ146" i="9"/>
  <c r="AP146" i="9"/>
  <c r="AO146" i="9"/>
  <c r="AN146" i="9"/>
  <c r="AM146" i="9"/>
  <c r="AL146" i="9"/>
  <c r="AK146" i="9"/>
  <c r="AJ146" i="9"/>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C146" i="9"/>
  <c r="BE146" i="9" s="1"/>
  <c r="BC145" i="9"/>
  <c r="BB145" i="9"/>
  <c r="BA145" i="9"/>
  <c r="AZ145" i="9"/>
  <c r="AY145" i="9"/>
  <c r="AX145" i="9"/>
  <c r="AW145" i="9"/>
  <c r="AV145" i="9"/>
  <c r="AU145" i="9"/>
  <c r="AT145" i="9"/>
  <c r="AS145" i="9"/>
  <c r="AR145" i="9"/>
  <c r="AQ145" i="9"/>
  <c r="AP145" i="9"/>
  <c r="AO145" i="9"/>
  <c r="AN145" i="9"/>
  <c r="AM145" i="9"/>
  <c r="AL145" i="9"/>
  <c r="AK145" i="9"/>
  <c r="AJ145" i="9"/>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C145" i="9"/>
  <c r="BE145" i="9" s="1"/>
  <c r="BC144" i="9"/>
  <c r="BB144" i="9"/>
  <c r="BA144" i="9"/>
  <c r="AZ144" i="9"/>
  <c r="AY144" i="9"/>
  <c r="AX144" i="9"/>
  <c r="AW144" i="9"/>
  <c r="AV144" i="9"/>
  <c r="AU144" i="9"/>
  <c r="AT144" i="9"/>
  <c r="AS144" i="9"/>
  <c r="AR144" i="9"/>
  <c r="AQ144" i="9"/>
  <c r="AP144" i="9"/>
  <c r="AO144" i="9"/>
  <c r="AN144" i="9"/>
  <c r="AM144" i="9"/>
  <c r="AL144" i="9"/>
  <c r="AK144" i="9"/>
  <c r="AJ144" i="9"/>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C144" i="9"/>
  <c r="BE144" i="9" s="1"/>
  <c r="BC143" i="9"/>
  <c r="BB143" i="9"/>
  <c r="BA143" i="9"/>
  <c r="AZ143" i="9"/>
  <c r="AY143" i="9"/>
  <c r="AX143" i="9"/>
  <c r="AW143" i="9"/>
  <c r="AV143" i="9"/>
  <c r="AU143" i="9"/>
  <c r="AT143" i="9"/>
  <c r="AS143" i="9"/>
  <c r="AR143" i="9"/>
  <c r="AQ143" i="9"/>
  <c r="AP143" i="9"/>
  <c r="AO143" i="9"/>
  <c r="AN143" i="9"/>
  <c r="AM143" i="9"/>
  <c r="AL143" i="9"/>
  <c r="AK143"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C143" i="9"/>
  <c r="BE143" i="9" s="1"/>
  <c r="BC142" i="9"/>
  <c r="BB142" i="9"/>
  <c r="BA142" i="9"/>
  <c r="AZ142" i="9"/>
  <c r="AY142" i="9"/>
  <c r="AX142" i="9"/>
  <c r="AW142" i="9"/>
  <c r="AV142" i="9"/>
  <c r="AU142" i="9"/>
  <c r="AT142" i="9"/>
  <c r="AS142" i="9"/>
  <c r="AR142" i="9"/>
  <c r="AQ142" i="9"/>
  <c r="AP142" i="9"/>
  <c r="AO142" i="9"/>
  <c r="AN142" i="9"/>
  <c r="AM142" i="9"/>
  <c r="AL142" i="9"/>
  <c r="AK142"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C142" i="9"/>
  <c r="BE142" i="9" s="1"/>
  <c r="BC141" i="9"/>
  <c r="BB141" i="9"/>
  <c r="BA141" i="9"/>
  <c r="AZ141" i="9"/>
  <c r="AY141" i="9"/>
  <c r="AX141" i="9"/>
  <c r="AW141" i="9"/>
  <c r="AV141" i="9"/>
  <c r="AU141" i="9"/>
  <c r="AT141" i="9"/>
  <c r="AS141" i="9"/>
  <c r="AR141" i="9"/>
  <c r="AQ141" i="9"/>
  <c r="AP141" i="9"/>
  <c r="AO141" i="9"/>
  <c r="AN141" i="9"/>
  <c r="AM141" i="9"/>
  <c r="AL141" i="9"/>
  <c r="AK141"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C141" i="9"/>
  <c r="BC139" i="9"/>
  <c r="BB139" i="9"/>
  <c r="BA139" i="9"/>
  <c r="AZ139" i="9"/>
  <c r="AY139" i="9"/>
  <c r="AX139" i="9"/>
  <c r="AW139" i="9"/>
  <c r="AV139" i="9"/>
  <c r="AU139" i="9"/>
  <c r="AT139" i="9"/>
  <c r="AS139" i="9"/>
  <c r="AR139" i="9"/>
  <c r="AQ139" i="9"/>
  <c r="AP139" i="9"/>
  <c r="AO139" i="9"/>
  <c r="AN139" i="9"/>
  <c r="AM139" i="9"/>
  <c r="AL139" i="9"/>
  <c r="AK139"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C139" i="9"/>
  <c r="BE139" i="9" s="1"/>
  <c r="BC138" i="9"/>
  <c r="BB138" i="9"/>
  <c r="BA138" i="9"/>
  <c r="AZ138" i="9"/>
  <c r="AY138" i="9"/>
  <c r="AX138" i="9"/>
  <c r="AW138" i="9"/>
  <c r="AV138" i="9"/>
  <c r="AU138" i="9"/>
  <c r="AT138" i="9"/>
  <c r="AS138" i="9"/>
  <c r="AR138" i="9"/>
  <c r="AQ138" i="9"/>
  <c r="AP138" i="9"/>
  <c r="AO138" i="9"/>
  <c r="AN138" i="9"/>
  <c r="AM138" i="9"/>
  <c r="AL138" i="9"/>
  <c r="AK138"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C138" i="9"/>
  <c r="BE138" i="9" s="1"/>
  <c r="BC137" i="9"/>
  <c r="BB137" i="9"/>
  <c r="BA137" i="9"/>
  <c r="AZ137" i="9"/>
  <c r="AY137" i="9"/>
  <c r="AX137" i="9"/>
  <c r="AW137" i="9"/>
  <c r="AV137" i="9"/>
  <c r="AU137" i="9"/>
  <c r="AT137" i="9"/>
  <c r="AS137" i="9"/>
  <c r="AR137" i="9"/>
  <c r="AQ137" i="9"/>
  <c r="AP137" i="9"/>
  <c r="AO137" i="9"/>
  <c r="AN137" i="9"/>
  <c r="AM137" i="9"/>
  <c r="AL137" i="9"/>
  <c r="AK137"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C137" i="9"/>
  <c r="BE137" i="9" s="1"/>
  <c r="BC136" i="9"/>
  <c r="BB136" i="9"/>
  <c r="BA136" i="9"/>
  <c r="AZ136" i="9"/>
  <c r="AY136" i="9"/>
  <c r="AX136" i="9"/>
  <c r="AW136" i="9"/>
  <c r="AV136" i="9"/>
  <c r="AU136" i="9"/>
  <c r="AT136" i="9"/>
  <c r="AS136" i="9"/>
  <c r="AR136" i="9"/>
  <c r="AQ136" i="9"/>
  <c r="AP136" i="9"/>
  <c r="AO136" i="9"/>
  <c r="AN136" i="9"/>
  <c r="AM136" i="9"/>
  <c r="AL136" i="9"/>
  <c r="AK136"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C136" i="9"/>
  <c r="BE136" i="9" s="1"/>
  <c r="BC135" i="9"/>
  <c r="BB135" i="9"/>
  <c r="BA135" i="9"/>
  <c r="AZ135" i="9"/>
  <c r="AY135" i="9"/>
  <c r="AX135" i="9"/>
  <c r="AW135" i="9"/>
  <c r="AV135" i="9"/>
  <c r="AU135" i="9"/>
  <c r="AT135" i="9"/>
  <c r="AS135" i="9"/>
  <c r="AR135" i="9"/>
  <c r="AQ135" i="9"/>
  <c r="AP135" i="9"/>
  <c r="AO135" i="9"/>
  <c r="AN135" i="9"/>
  <c r="AM135" i="9"/>
  <c r="AL135" i="9"/>
  <c r="AK135" i="9"/>
  <c r="AJ135" i="9"/>
  <c r="AI135" i="9"/>
  <c r="AH135" i="9"/>
  <c r="AG135" i="9"/>
  <c r="AF135" i="9"/>
  <c r="AE135" i="9"/>
  <c r="AD135" i="9"/>
  <c r="AC135" i="9"/>
  <c r="AB135" i="9"/>
  <c r="AA135" i="9"/>
  <c r="Z135" i="9"/>
  <c r="Y135" i="9"/>
  <c r="X135" i="9"/>
  <c r="W135" i="9"/>
  <c r="V135" i="9"/>
  <c r="U135" i="9"/>
  <c r="T135" i="9"/>
  <c r="S135" i="9"/>
  <c r="R135" i="9"/>
  <c r="Q135" i="9"/>
  <c r="P135" i="9"/>
  <c r="O135" i="9"/>
  <c r="N135" i="9"/>
  <c r="M135" i="9"/>
  <c r="L135" i="9"/>
  <c r="K135" i="9"/>
  <c r="J135" i="9"/>
  <c r="I135" i="9"/>
  <c r="H135" i="9"/>
  <c r="G135" i="9"/>
  <c r="F135" i="9"/>
  <c r="E135" i="9"/>
  <c r="D135" i="9"/>
  <c r="C135" i="9"/>
  <c r="BE135" i="9" s="1"/>
  <c r="BC134" i="9"/>
  <c r="BB134" i="9"/>
  <c r="BA134" i="9"/>
  <c r="AZ134" i="9"/>
  <c r="AY134" i="9"/>
  <c r="AX134" i="9"/>
  <c r="AW134" i="9"/>
  <c r="AV134" i="9"/>
  <c r="AU134" i="9"/>
  <c r="AT134" i="9"/>
  <c r="AS134" i="9"/>
  <c r="AR134" i="9"/>
  <c r="AQ134" i="9"/>
  <c r="AP134" i="9"/>
  <c r="AO134" i="9"/>
  <c r="AN134" i="9"/>
  <c r="AM134" i="9"/>
  <c r="AL134" i="9"/>
  <c r="AK134" i="9"/>
  <c r="AJ134" i="9"/>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C134" i="9"/>
  <c r="BE134" i="9" s="1"/>
  <c r="BC133" i="9"/>
  <c r="BB133" i="9"/>
  <c r="BA133" i="9"/>
  <c r="AZ133" i="9"/>
  <c r="AY133" i="9"/>
  <c r="AX133" i="9"/>
  <c r="AW133" i="9"/>
  <c r="AV133" i="9"/>
  <c r="AU133" i="9"/>
  <c r="AT133" i="9"/>
  <c r="AS133" i="9"/>
  <c r="AR133" i="9"/>
  <c r="AQ133" i="9"/>
  <c r="AP133" i="9"/>
  <c r="AO133" i="9"/>
  <c r="AN133" i="9"/>
  <c r="AM133" i="9"/>
  <c r="AL133" i="9"/>
  <c r="AK133" i="9"/>
  <c r="AJ133" i="9"/>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C133" i="9"/>
  <c r="BC130" i="9"/>
  <c r="BB130" i="9"/>
  <c r="BA130" i="9"/>
  <c r="AZ130" i="9"/>
  <c r="AY130" i="9"/>
  <c r="AX130" i="9"/>
  <c r="AW130" i="9"/>
  <c r="AV130" i="9"/>
  <c r="AU130" i="9"/>
  <c r="AT130" i="9"/>
  <c r="AS130" i="9"/>
  <c r="AR130" i="9"/>
  <c r="AQ130" i="9"/>
  <c r="AP130" i="9"/>
  <c r="AO130" i="9"/>
  <c r="AN130" i="9"/>
  <c r="AM130" i="9"/>
  <c r="AL130" i="9"/>
  <c r="AK130" i="9"/>
  <c r="AJ130" i="9"/>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C130" i="9"/>
  <c r="BO94" i="9"/>
  <c r="BN94" i="9"/>
  <c r="BL94" i="9"/>
  <c r="BJ94" i="9"/>
  <c r="BI94" i="9"/>
  <c r="BH94" i="9"/>
  <c r="BG94" i="9"/>
  <c r="BO93" i="9"/>
  <c r="BN93" i="9"/>
  <c r="BL93" i="9"/>
  <c r="BJ93" i="9"/>
  <c r="BI93" i="9"/>
  <c r="BH93" i="9"/>
  <c r="BG93" i="9"/>
  <c r="BO92" i="9"/>
  <c r="BN92" i="9"/>
  <c r="BL92" i="9"/>
  <c r="BJ92" i="9"/>
  <c r="BI92" i="9"/>
  <c r="BH92" i="9"/>
  <c r="BG92" i="9"/>
  <c r="BO91" i="9"/>
  <c r="BN91" i="9"/>
  <c r="BL91" i="9"/>
  <c r="BJ91" i="9"/>
  <c r="BI91" i="9"/>
  <c r="BH91" i="9"/>
  <c r="BG91" i="9"/>
  <c r="BO90" i="9"/>
  <c r="BN90" i="9"/>
  <c r="BL90" i="9"/>
  <c r="BJ90" i="9"/>
  <c r="BI90" i="9"/>
  <c r="BH90" i="9"/>
  <c r="BG90" i="9"/>
  <c r="BO89" i="9"/>
  <c r="BN89" i="9"/>
  <c r="BL89" i="9"/>
  <c r="BJ89" i="9"/>
  <c r="BI89" i="9"/>
  <c r="BH89" i="9"/>
  <c r="BG89" i="9"/>
  <c r="BO88" i="9"/>
  <c r="BN88" i="9"/>
  <c r="BL88" i="9"/>
  <c r="BJ88" i="9"/>
  <c r="BI88" i="9"/>
  <c r="BH88" i="9"/>
  <c r="BG88" i="9"/>
  <c r="BO87" i="9"/>
  <c r="BN87" i="9"/>
  <c r="BL87" i="9"/>
  <c r="BJ87" i="9"/>
  <c r="BI87" i="9"/>
  <c r="BH87" i="9"/>
  <c r="BG87" i="9"/>
  <c r="BO86" i="9"/>
  <c r="BN86" i="9"/>
  <c r="BL86" i="9"/>
  <c r="BJ86" i="9"/>
  <c r="BI86" i="9"/>
  <c r="BH86" i="9"/>
  <c r="BG86" i="9"/>
  <c r="BO85" i="9"/>
  <c r="BN85" i="9"/>
  <c r="BL85" i="9"/>
  <c r="BJ85" i="9"/>
  <c r="BI85" i="9"/>
  <c r="BH85" i="9"/>
  <c r="BG85" i="9"/>
  <c r="BO84" i="9"/>
  <c r="BN84" i="9"/>
  <c r="BL84" i="9"/>
  <c r="BJ84" i="9"/>
  <c r="BI84" i="9"/>
  <c r="BH84" i="9"/>
  <c r="BG84" i="9"/>
  <c r="BO83" i="9"/>
  <c r="BN83" i="9"/>
  <c r="BL83" i="9"/>
  <c r="BJ83" i="9"/>
  <c r="BI83" i="9"/>
  <c r="BH83" i="9"/>
  <c r="BG83" i="9"/>
  <c r="BO82" i="9"/>
  <c r="BN82" i="9"/>
  <c r="BL82" i="9"/>
  <c r="BJ82" i="9"/>
  <c r="BI82" i="9"/>
  <c r="BH82" i="9"/>
  <c r="BG82" i="9"/>
  <c r="BO81" i="9"/>
  <c r="BN81" i="9"/>
  <c r="BL81" i="9"/>
  <c r="BJ81" i="9"/>
  <c r="BI81" i="9"/>
  <c r="BH81" i="9"/>
  <c r="BG81" i="9"/>
  <c r="BO80" i="9"/>
  <c r="BN80" i="9"/>
  <c r="BL80" i="9"/>
  <c r="BJ80" i="9"/>
  <c r="BI80" i="9"/>
  <c r="BH80" i="9"/>
  <c r="BG80" i="9"/>
  <c r="BO79" i="9"/>
  <c r="BN79" i="9"/>
  <c r="BL79" i="9"/>
  <c r="BJ79" i="9"/>
  <c r="BI79" i="9"/>
  <c r="BH79" i="9"/>
  <c r="BG79" i="9"/>
  <c r="BO78" i="9"/>
  <c r="BN78" i="9"/>
  <c r="BL78" i="9"/>
  <c r="BJ78" i="9"/>
  <c r="BI78" i="9"/>
  <c r="BH78" i="9"/>
  <c r="BG78" i="9"/>
  <c r="BO77" i="9"/>
  <c r="BN77" i="9"/>
  <c r="BL77" i="9"/>
  <c r="BJ77" i="9"/>
  <c r="BI77" i="9"/>
  <c r="BH77" i="9"/>
  <c r="BG77" i="9"/>
  <c r="BO76" i="9"/>
  <c r="BN76" i="9"/>
  <c r="BL76" i="9"/>
  <c r="BJ76" i="9"/>
  <c r="BI76" i="9"/>
  <c r="BH76" i="9"/>
  <c r="BG76" i="9"/>
  <c r="BO75" i="9"/>
  <c r="BN75" i="9"/>
  <c r="BL75" i="9"/>
  <c r="BJ75" i="9"/>
  <c r="BI75" i="9"/>
  <c r="BH75" i="9"/>
  <c r="BG75" i="9"/>
  <c r="BO74" i="9"/>
  <c r="BN74" i="9"/>
  <c r="BL74" i="9"/>
  <c r="BJ74" i="9"/>
  <c r="BI74" i="9"/>
  <c r="BH74" i="9"/>
  <c r="BG74" i="9"/>
  <c r="BO73" i="9"/>
  <c r="BN73" i="9"/>
  <c r="BL73" i="9"/>
  <c r="BJ73" i="9"/>
  <c r="BI73" i="9"/>
  <c r="BH73" i="9"/>
  <c r="BG73" i="9"/>
  <c r="BO72" i="9"/>
  <c r="BN72" i="9"/>
  <c r="BL72" i="9"/>
  <c r="BJ72" i="9"/>
  <c r="BI72" i="9"/>
  <c r="BH72" i="9"/>
  <c r="BG72" i="9"/>
  <c r="BO71" i="9"/>
  <c r="BN71" i="9"/>
  <c r="BL71" i="9"/>
  <c r="BJ71" i="9"/>
  <c r="BI71" i="9"/>
  <c r="BH71" i="9"/>
  <c r="BG71" i="9"/>
  <c r="BO70" i="9"/>
  <c r="BN70" i="9"/>
  <c r="BL70" i="9"/>
  <c r="BJ70" i="9"/>
  <c r="BI70" i="9"/>
  <c r="BH70" i="9"/>
  <c r="BG70" i="9"/>
  <c r="BO69" i="9"/>
  <c r="BN69" i="9"/>
  <c r="BL69" i="9"/>
  <c r="BJ69" i="9"/>
  <c r="BI69" i="9"/>
  <c r="BH69" i="9"/>
  <c r="BG69" i="9"/>
  <c r="BO68" i="9"/>
  <c r="BN68" i="9"/>
  <c r="BL68" i="9"/>
  <c r="BJ68" i="9"/>
  <c r="BI68" i="9"/>
  <c r="BH68" i="9"/>
  <c r="BG68" i="9"/>
  <c r="BO67" i="9"/>
  <c r="BN67" i="9"/>
  <c r="BL67" i="9"/>
  <c r="BJ67" i="9"/>
  <c r="BI67" i="9"/>
  <c r="BH67" i="9"/>
  <c r="BG67" i="9"/>
  <c r="BO66" i="9"/>
  <c r="BN66" i="9"/>
  <c r="BL66" i="9"/>
  <c r="BJ66" i="9"/>
  <c r="BI66" i="9"/>
  <c r="BH66" i="9"/>
  <c r="BG66" i="9"/>
  <c r="BO65" i="9"/>
  <c r="BN65" i="9"/>
  <c r="BL65" i="9"/>
  <c r="BJ65" i="9"/>
  <c r="BI65" i="9"/>
  <c r="BH65" i="9"/>
  <c r="BG65" i="9"/>
  <c r="BO64" i="9"/>
  <c r="BN64" i="9"/>
  <c r="BL64" i="9"/>
  <c r="BJ64" i="9"/>
  <c r="BI64" i="9"/>
  <c r="BH64" i="9"/>
  <c r="BG64" i="9"/>
  <c r="BO63" i="9"/>
  <c r="BN63" i="9"/>
  <c r="BL63" i="9"/>
  <c r="BJ63" i="9"/>
  <c r="BI63" i="9"/>
  <c r="BH63" i="9"/>
  <c r="BG63" i="9"/>
  <c r="BO62" i="9"/>
  <c r="BN62" i="9"/>
  <c r="BL62" i="9"/>
  <c r="BJ62" i="9"/>
  <c r="BI62" i="9"/>
  <c r="BH62" i="9"/>
  <c r="BG62" i="9"/>
  <c r="BO61" i="9"/>
  <c r="BN61" i="9"/>
  <c r="BL61" i="9"/>
  <c r="BJ61" i="9"/>
  <c r="BI61" i="9"/>
  <c r="BH61" i="9"/>
  <c r="BG61" i="9"/>
  <c r="BO60" i="9"/>
  <c r="BN60" i="9"/>
  <c r="BL60" i="9"/>
  <c r="BJ60" i="9"/>
  <c r="BI60" i="9"/>
  <c r="BH60" i="9"/>
  <c r="BG60" i="9"/>
  <c r="BN59" i="9"/>
  <c r="BM59" i="9"/>
  <c r="BL59" i="9"/>
  <c r="BK59" i="9"/>
  <c r="BJ59" i="9"/>
  <c r="BI59" i="9"/>
  <c r="BH59" i="9"/>
  <c r="BG59" i="9"/>
  <c r="BN58" i="9"/>
  <c r="BM58" i="9"/>
  <c r="BL58" i="9"/>
  <c r="BK58" i="9"/>
  <c r="BJ58" i="9"/>
  <c r="BI58" i="9"/>
  <c r="BH58" i="9"/>
  <c r="BG58" i="9"/>
  <c r="BN57" i="9"/>
  <c r="BM57" i="9"/>
  <c r="BL57" i="9"/>
  <c r="BK57" i="9"/>
  <c r="BJ57" i="9"/>
  <c r="BI57" i="9"/>
  <c r="BH57" i="9"/>
  <c r="BG57" i="9"/>
  <c r="BN56" i="9"/>
  <c r="BM56" i="9"/>
  <c r="BL56" i="9"/>
  <c r="BK56" i="9"/>
  <c r="BJ56" i="9"/>
  <c r="BI56" i="9"/>
  <c r="BH56" i="9"/>
  <c r="BG56" i="9"/>
  <c r="BN55" i="9"/>
  <c r="BM55" i="9"/>
  <c r="BL55" i="9"/>
  <c r="BK55" i="9"/>
  <c r="BJ55" i="9"/>
  <c r="BI55" i="9"/>
  <c r="BH55" i="9"/>
  <c r="BG55" i="9"/>
  <c r="BN54" i="9"/>
  <c r="BM54" i="9"/>
  <c r="BL54" i="9"/>
  <c r="BK54" i="9"/>
  <c r="BJ54" i="9"/>
  <c r="BI54" i="9"/>
  <c r="BH54" i="9"/>
  <c r="BG54" i="9"/>
  <c r="BN53" i="9"/>
  <c r="BM53" i="9"/>
  <c r="BL53" i="9"/>
  <c r="BK53" i="9"/>
  <c r="BJ53" i="9"/>
  <c r="BI53" i="9"/>
  <c r="BH53" i="9"/>
  <c r="BG53" i="9"/>
  <c r="BN52" i="9"/>
  <c r="BM52" i="9"/>
  <c r="BL52" i="9"/>
  <c r="BK52" i="9"/>
  <c r="BJ52" i="9"/>
  <c r="BI52" i="9"/>
  <c r="BH52" i="9"/>
  <c r="BG52" i="9"/>
  <c r="BN51" i="9"/>
  <c r="BM51" i="9"/>
  <c r="BL51" i="9"/>
  <c r="BK51" i="9"/>
  <c r="BJ51" i="9"/>
  <c r="BI51" i="9"/>
  <c r="BH51" i="9"/>
  <c r="BG51" i="9"/>
  <c r="BN50" i="9"/>
  <c r="BM50" i="9"/>
  <c r="BL50" i="9"/>
  <c r="BK50" i="9"/>
  <c r="BJ50" i="9"/>
  <c r="BI50" i="9"/>
  <c r="BH50" i="9"/>
  <c r="BG50" i="9"/>
  <c r="BN49" i="9"/>
  <c r="BM49" i="9"/>
  <c r="BL49" i="9"/>
  <c r="BK49" i="9"/>
  <c r="BJ49" i="9"/>
  <c r="BI49" i="9"/>
  <c r="BH49" i="9"/>
  <c r="BG49" i="9"/>
  <c r="BN48" i="9"/>
  <c r="BM48" i="9"/>
  <c r="BL48" i="9"/>
  <c r="BK48" i="9"/>
  <c r="BJ48" i="9"/>
  <c r="BI48" i="9"/>
  <c r="BH48" i="9"/>
  <c r="BG48" i="9"/>
  <c r="BN47" i="9"/>
  <c r="BM47" i="9"/>
  <c r="BL47" i="9"/>
  <c r="BK47" i="9"/>
  <c r="BJ47" i="9"/>
  <c r="BI47" i="9"/>
  <c r="BH47" i="9"/>
  <c r="BG47" i="9"/>
  <c r="BN46" i="9"/>
  <c r="BM46" i="9"/>
  <c r="BL46" i="9"/>
  <c r="BK46" i="9"/>
  <c r="BJ46" i="9"/>
  <c r="BI46" i="9"/>
  <c r="BH46" i="9"/>
  <c r="BG46" i="9"/>
  <c r="BN45" i="9"/>
  <c r="BM45" i="9"/>
  <c r="BL45" i="9"/>
  <c r="BK45" i="9"/>
  <c r="BJ45" i="9"/>
  <c r="BI45" i="9"/>
  <c r="BH45" i="9"/>
  <c r="BG45" i="9"/>
  <c r="BN44" i="9"/>
  <c r="BM44" i="9"/>
  <c r="BL44" i="9"/>
  <c r="BK44" i="9"/>
  <c r="BJ44" i="9"/>
  <c r="BI44" i="9"/>
  <c r="BH44" i="9"/>
  <c r="BG44" i="9"/>
  <c r="BN43" i="9"/>
  <c r="BM43" i="9"/>
  <c r="BL43" i="9"/>
  <c r="BK43" i="9"/>
  <c r="BJ43" i="9"/>
  <c r="BI43" i="9"/>
  <c r="BH43" i="9"/>
  <c r="BG43" i="9"/>
  <c r="BN42" i="9"/>
  <c r="BM42" i="9"/>
  <c r="BL42" i="9"/>
  <c r="BK42" i="9"/>
  <c r="BJ42" i="9"/>
  <c r="BI42" i="9"/>
  <c r="BH42" i="9"/>
  <c r="BG42" i="9"/>
  <c r="BN41" i="9"/>
  <c r="BM41" i="9"/>
  <c r="BL41" i="9"/>
  <c r="BK41" i="9"/>
  <c r="BJ41" i="9"/>
  <c r="BI41" i="9"/>
  <c r="BH41" i="9"/>
  <c r="BG41" i="9"/>
  <c r="BN40" i="9"/>
  <c r="BM40" i="9"/>
  <c r="BL40" i="9"/>
  <c r="BK40" i="9"/>
  <c r="BJ40" i="9"/>
  <c r="BI40" i="9"/>
  <c r="BH40" i="9"/>
  <c r="BG40" i="9"/>
  <c r="BN39" i="9"/>
  <c r="BM39" i="9"/>
  <c r="BL39" i="9"/>
  <c r="BK39" i="9"/>
  <c r="BJ39" i="9"/>
  <c r="BI39" i="9"/>
  <c r="BH39" i="9"/>
  <c r="BG39" i="9"/>
  <c r="BN38" i="9"/>
  <c r="BM38" i="9"/>
  <c r="BL38" i="9"/>
  <c r="BK38" i="9"/>
  <c r="BJ38" i="9"/>
  <c r="BI38" i="9"/>
  <c r="BH38" i="9"/>
  <c r="BG38" i="9"/>
  <c r="BN37" i="9"/>
  <c r="BM37" i="9"/>
  <c r="BL37" i="9"/>
  <c r="BK37" i="9"/>
  <c r="BJ37" i="9"/>
  <c r="BI37" i="9"/>
  <c r="BH37" i="9"/>
  <c r="BG37" i="9"/>
  <c r="BN36" i="9"/>
  <c r="BM36" i="9"/>
  <c r="BL36" i="9"/>
  <c r="BK36" i="9"/>
  <c r="BJ36" i="9"/>
  <c r="BI36" i="9"/>
  <c r="BH36" i="9"/>
  <c r="BG36" i="9"/>
  <c r="BN35" i="9"/>
  <c r="BM35" i="9"/>
  <c r="BL35" i="9"/>
  <c r="BK35" i="9"/>
  <c r="BJ35" i="9"/>
  <c r="BI35" i="9"/>
  <c r="BH35" i="9"/>
  <c r="BG35" i="9"/>
  <c r="BN34" i="9"/>
  <c r="BM34" i="9"/>
  <c r="BL34" i="9"/>
  <c r="BK34" i="9"/>
  <c r="BJ34" i="9"/>
  <c r="BI34" i="9"/>
  <c r="BH34" i="9"/>
  <c r="BG34" i="9"/>
  <c r="BN33" i="9"/>
  <c r="BM33" i="9"/>
  <c r="BL33" i="9"/>
  <c r="BK33" i="9"/>
  <c r="BJ33" i="9"/>
  <c r="BI33" i="9"/>
  <c r="BH33" i="9"/>
  <c r="BG33" i="9"/>
  <c r="BN32" i="9"/>
  <c r="BM32" i="9"/>
  <c r="BL32" i="9"/>
  <c r="BK32" i="9"/>
  <c r="BJ32" i="9"/>
  <c r="BI32" i="9"/>
  <c r="BH32" i="9"/>
  <c r="BG32" i="9"/>
  <c r="BN31" i="9"/>
  <c r="BM31" i="9"/>
  <c r="BL31" i="9"/>
  <c r="BK31" i="9"/>
  <c r="BJ31" i="9"/>
  <c r="BI31" i="9"/>
  <c r="BH31" i="9"/>
  <c r="BG31" i="9"/>
  <c r="BN30" i="9"/>
  <c r="BM30" i="9"/>
  <c r="BL30" i="9"/>
  <c r="BK30" i="9"/>
  <c r="BJ30" i="9"/>
  <c r="BI30" i="9"/>
  <c r="BH30" i="9"/>
  <c r="BG30" i="9"/>
  <c r="BN29" i="9"/>
  <c r="BM29" i="9"/>
  <c r="BL29" i="9"/>
  <c r="BK29" i="9"/>
  <c r="BJ29" i="9"/>
  <c r="BI29" i="9"/>
  <c r="BH29" i="9"/>
  <c r="BG29" i="9"/>
  <c r="BN28" i="9"/>
  <c r="BM28" i="9"/>
  <c r="BL28" i="9"/>
  <c r="BK28" i="9"/>
  <c r="BJ28" i="9"/>
  <c r="BI28" i="9"/>
  <c r="BH28" i="9"/>
  <c r="BG28" i="9"/>
  <c r="BN27" i="9"/>
  <c r="BM27" i="9"/>
  <c r="BL27" i="9"/>
  <c r="BK27" i="9"/>
  <c r="BJ27" i="9"/>
  <c r="BI27" i="9"/>
  <c r="BH27" i="9"/>
  <c r="BG27" i="9"/>
  <c r="BN26" i="9"/>
  <c r="BM26" i="9"/>
  <c r="BL26" i="9"/>
  <c r="BK26" i="9"/>
  <c r="BJ26" i="9"/>
  <c r="BI26" i="9"/>
  <c r="BH26" i="9"/>
  <c r="BG26" i="9"/>
  <c r="BN25" i="9"/>
  <c r="BM25" i="9"/>
  <c r="BL25" i="9"/>
  <c r="BK25" i="9"/>
  <c r="BJ25" i="9"/>
  <c r="BI25" i="9"/>
  <c r="BH25" i="9"/>
  <c r="BG25" i="9"/>
  <c r="BN24" i="9"/>
  <c r="BM24" i="9"/>
  <c r="BL24" i="9"/>
  <c r="BK24" i="9"/>
  <c r="BJ24" i="9"/>
  <c r="BI24" i="9"/>
  <c r="BH24" i="9"/>
  <c r="BG24" i="9"/>
  <c r="BN23" i="9"/>
  <c r="BM23" i="9"/>
  <c r="BL23" i="9"/>
  <c r="BK23" i="9"/>
  <c r="BJ23" i="9"/>
  <c r="BI23" i="9"/>
  <c r="BH23" i="9"/>
  <c r="BG23" i="9"/>
  <c r="BN22" i="9"/>
  <c r="BM22" i="9"/>
  <c r="BL22" i="9"/>
  <c r="BK22" i="9"/>
  <c r="BJ22" i="9"/>
  <c r="BI22" i="9"/>
  <c r="BH22" i="9"/>
  <c r="BG22" i="9"/>
  <c r="BN21" i="9"/>
  <c r="BM21" i="9"/>
  <c r="BL21" i="9"/>
  <c r="BK21" i="9"/>
  <c r="BJ21" i="9"/>
  <c r="BI21" i="9"/>
  <c r="BH21" i="9"/>
  <c r="BG21" i="9"/>
  <c r="BN20" i="9"/>
  <c r="BM20" i="9"/>
  <c r="BL20" i="9"/>
  <c r="BK20" i="9"/>
  <c r="BJ20" i="9"/>
  <c r="BI20" i="9"/>
  <c r="BH20" i="9"/>
  <c r="BG20" i="9"/>
  <c r="BN19" i="9"/>
  <c r="BM19" i="9"/>
  <c r="BL19" i="9"/>
  <c r="BK19" i="9"/>
  <c r="BJ19" i="9"/>
  <c r="BI19" i="9"/>
  <c r="BH19" i="9"/>
  <c r="BG19" i="9"/>
  <c r="BN18" i="9"/>
  <c r="BM18" i="9"/>
  <c r="BL18" i="9"/>
  <c r="BK18" i="9"/>
  <c r="BJ18" i="9"/>
  <c r="BI18" i="9"/>
  <c r="BH18" i="9"/>
  <c r="BG18" i="9"/>
  <c r="BN17" i="9"/>
  <c r="BM17" i="9"/>
  <c r="BL17" i="9"/>
  <c r="BK17" i="9"/>
  <c r="BJ17" i="9"/>
  <c r="BI17" i="9"/>
  <c r="BH17" i="9"/>
  <c r="BG17" i="9"/>
  <c r="BN16" i="9"/>
  <c r="BM16" i="9"/>
  <c r="BL16" i="9"/>
  <c r="BK16" i="9"/>
  <c r="BJ16" i="9"/>
  <c r="BI16" i="9"/>
  <c r="BH16" i="9"/>
  <c r="BG16" i="9"/>
  <c r="BN15" i="9"/>
  <c r="BM15" i="9"/>
  <c r="BL15" i="9"/>
  <c r="BK15" i="9"/>
  <c r="BJ15" i="9"/>
  <c r="BI15" i="9"/>
  <c r="BH15" i="9"/>
  <c r="BG15" i="9"/>
  <c r="BN14" i="9"/>
  <c r="BM14" i="9"/>
  <c r="BL14" i="9"/>
  <c r="BK14" i="9"/>
  <c r="BJ14" i="9"/>
  <c r="BI14" i="9"/>
  <c r="BH14" i="9"/>
  <c r="BG14" i="9"/>
  <c r="BN13" i="9"/>
  <c r="BM13" i="9"/>
  <c r="BL13" i="9"/>
  <c r="BK13" i="9"/>
  <c r="BJ13" i="9"/>
  <c r="BI13" i="9"/>
  <c r="BH13" i="9"/>
  <c r="BG13" i="9"/>
  <c r="BN12" i="9"/>
  <c r="BM12" i="9"/>
  <c r="BL12" i="9"/>
  <c r="BK12" i="9"/>
  <c r="BJ12" i="9"/>
  <c r="BI12" i="9"/>
  <c r="BH12" i="9"/>
  <c r="BG12" i="9"/>
  <c r="BN11" i="9"/>
  <c r="BM11" i="9"/>
  <c r="BL11" i="9"/>
  <c r="BK11" i="9"/>
  <c r="BJ11" i="9"/>
  <c r="BI11" i="9"/>
  <c r="BH11" i="9"/>
  <c r="BG11" i="9"/>
  <c r="BN10" i="9"/>
  <c r="BM10" i="9"/>
  <c r="BL10" i="9"/>
  <c r="BK10" i="9"/>
  <c r="BJ10" i="9"/>
  <c r="BI10" i="9"/>
  <c r="BH10" i="9"/>
  <c r="BG10" i="9"/>
  <c r="BN9" i="9"/>
  <c r="BM9" i="9"/>
  <c r="BL9" i="9"/>
  <c r="BK9" i="9"/>
  <c r="BJ9" i="9"/>
  <c r="BI9" i="9"/>
  <c r="BH9" i="9"/>
  <c r="BG9" i="9"/>
  <c r="BN8" i="9"/>
  <c r="BM8" i="9"/>
  <c r="BL8" i="9"/>
  <c r="BK8" i="9"/>
  <c r="BJ8" i="9"/>
  <c r="BI8" i="9"/>
  <c r="BH8" i="9"/>
  <c r="BG8" i="9"/>
  <c r="BN7" i="9"/>
  <c r="BM7" i="9"/>
  <c r="BL7" i="9"/>
  <c r="BK7" i="9"/>
  <c r="BJ7" i="9"/>
  <c r="BI7" i="9"/>
  <c r="BH7" i="9"/>
  <c r="BG7" i="9"/>
  <c r="BN6" i="9"/>
  <c r="BM6" i="9"/>
  <c r="BL6" i="9"/>
  <c r="BK6" i="9"/>
  <c r="BJ6" i="9"/>
  <c r="BI6" i="9"/>
  <c r="BH6" i="9"/>
  <c r="BG6" i="9"/>
  <c r="BN5" i="9"/>
  <c r="BM5" i="9"/>
  <c r="BL5" i="9"/>
  <c r="BK5" i="9"/>
  <c r="BJ5" i="9"/>
  <c r="BI5" i="9"/>
  <c r="BH5" i="9"/>
  <c r="BG5" i="9"/>
  <c r="BN4" i="9"/>
  <c r="BM4" i="9"/>
  <c r="BL4" i="9"/>
  <c r="BK4" i="9"/>
  <c r="BJ4" i="9"/>
  <c r="BI4" i="9"/>
  <c r="BH4" i="9"/>
  <c r="BG4" i="9"/>
  <c r="BC175" i="8"/>
  <c r="BB175" i="8"/>
  <c r="BA175" i="8"/>
  <c r="AZ175" i="8"/>
  <c r="AY175" i="8"/>
  <c r="AX175" i="8"/>
  <c r="AW175" i="8"/>
  <c r="AV175" i="8"/>
  <c r="AU175" i="8"/>
  <c r="AT175" i="8"/>
  <c r="AS175" i="8"/>
  <c r="AR175" i="8"/>
  <c r="AQ175" i="8"/>
  <c r="AP175" i="8"/>
  <c r="AO175" i="8"/>
  <c r="AN175" i="8"/>
  <c r="AM175" i="8"/>
  <c r="AL175" i="8"/>
  <c r="AK175" i="8"/>
  <c r="AJ175" i="8"/>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C175" i="8"/>
  <c r="C174" i="8"/>
  <c r="BC174" i="8"/>
  <c r="BB174" i="8"/>
  <c r="BA174" i="8"/>
  <c r="AZ174" i="8"/>
  <c r="AY174" i="8"/>
  <c r="AX174" i="8"/>
  <c r="AW174" i="8"/>
  <c r="AV174" i="8"/>
  <c r="AU174" i="8"/>
  <c r="AT174" i="8"/>
  <c r="AS174" i="8"/>
  <c r="AR174" i="8"/>
  <c r="AQ174" i="8"/>
  <c r="AP174" i="8"/>
  <c r="AO174" i="8"/>
  <c r="AN174" i="8"/>
  <c r="AM174" i="8"/>
  <c r="AL174" i="8"/>
  <c r="AK174" i="8"/>
  <c r="AJ174" i="8"/>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C130" i="8"/>
  <c r="C172" i="8"/>
  <c r="BC172" i="8"/>
  <c r="BB172" i="8"/>
  <c r="BA172" i="8"/>
  <c r="AZ172" i="8"/>
  <c r="AY172" i="8"/>
  <c r="AX172" i="8"/>
  <c r="AW172" i="8"/>
  <c r="AV172" i="8"/>
  <c r="AU172" i="8"/>
  <c r="AT172" i="8"/>
  <c r="AS172" i="8"/>
  <c r="AR172" i="8"/>
  <c r="AQ172" i="8"/>
  <c r="AP172" i="8"/>
  <c r="AO172" i="8"/>
  <c r="AN172" i="8"/>
  <c r="AM172" i="8"/>
  <c r="AL172" i="8"/>
  <c r="AK172"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BD172" i="8"/>
  <c r="BC171" i="8"/>
  <c r="BB171" i="8"/>
  <c r="BA171" i="8"/>
  <c r="AZ171" i="8"/>
  <c r="AY171" i="8"/>
  <c r="AX171" i="8"/>
  <c r="AW171" i="8"/>
  <c r="AV171" i="8"/>
  <c r="AU171" i="8"/>
  <c r="AT171" i="8"/>
  <c r="AS171" i="8"/>
  <c r="AR171" i="8"/>
  <c r="AQ171" i="8"/>
  <c r="AP171" i="8"/>
  <c r="AO171" i="8"/>
  <c r="AN171" i="8"/>
  <c r="AM171" i="8"/>
  <c r="AL171" i="8"/>
  <c r="AK171"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C171" i="8"/>
  <c r="BD171" i="8" s="1"/>
  <c r="BC168" i="8"/>
  <c r="BB168" i="8"/>
  <c r="BA168" i="8"/>
  <c r="AZ168" i="8"/>
  <c r="AY168" i="8"/>
  <c r="AX168" i="8"/>
  <c r="AW168" i="8"/>
  <c r="AV168" i="8"/>
  <c r="AU168" i="8"/>
  <c r="AT168" i="8"/>
  <c r="AS168" i="8"/>
  <c r="AR168" i="8"/>
  <c r="AQ168" i="8"/>
  <c r="AP168" i="8"/>
  <c r="AO168" i="8"/>
  <c r="AN168" i="8"/>
  <c r="AM168" i="8"/>
  <c r="AL168" i="8"/>
  <c r="AK168"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C168" i="8"/>
  <c r="BD168" i="8" s="1"/>
  <c r="BC167" i="8"/>
  <c r="BB167" i="8"/>
  <c r="BA167" i="8"/>
  <c r="AZ167" i="8"/>
  <c r="AY167" i="8"/>
  <c r="AX167" i="8"/>
  <c r="AW167" i="8"/>
  <c r="AV167" i="8"/>
  <c r="AU167" i="8"/>
  <c r="AT167" i="8"/>
  <c r="AS167" i="8"/>
  <c r="AR167" i="8"/>
  <c r="AQ167" i="8"/>
  <c r="AP167" i="8"/>
  <c r="AO167" i="8"/>
  <c r="AN167" i="8"/>
  <c r="AM167" i="8"/>
  <c r="AL167" i="8"/>
  <c r="AK167"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C167" i="8"/>
  <c r="BD167" i="8" s="1"/>
  <c r="BC166" i="8"/>
  <c r="BB166" i="8"/>
  <c r="BA166" i="8"/>
  <c r="AZ166" i="8"/>
  <c r="AY166" i="8"/>
  <c r="AX166" i="8"/>
  <c r="AW166" i="8"/>
  <c r="AV166" i="8"/>
  <c r="AU166" i="8"/>
  <c r="AT166" i="8"/>
  <c r="AS166" i="8"/>
  <c r="AR166" i="8"/>
  <c r="AQ166" i="8"/>
  <c r="AP166" i="8"/>
  <c r="AO166" i="8"/>
  <c r="AN166" i="8"/>
  <c r="AM166" i="8"/>
  <c r="AL166" i="8"/>
  <c r="AK166"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C166" i="8"/>
  <c r="BD166" i="8" s="1"/>
  <c r="BC165" i="8"/>
  <c r="BB165" i="8"/>
  <c r="BA165" i="8"/>
  <c r="AZ165" i="8"/>
  <c r="AY165" i="8"/>
  <c r="AX165" i="8"/>
  <c r="AW165" i="8"/>
  <c r="AV165" i="8"/>
  <c r="AU165" i="8"/>
  <c r="AT165" i="8"/>
  <c r="AS165" i="8"/>
  <c r="AR165" i="8"/>
  <c r="AQ165" i="8"/>
  <c r="AP165" i="8"/>
  <c r="AO165" i="8"/>
  <c r="AN165" i="8"/>
  <c r="AM165" i="8"/>
  <c r="AL165" i="8"/>
  <c r="AK165"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C165" i="8"/>
  <c r="BD165" i="8" s="1"/>
  <c r="BC164" i="8"/>
  <c r="BB164" i="8"/>
  <c r="BA164" i="8"/>
  <c r="AZ164" i="8"/>
  <c r="AY164" i="8"/>
  <c r="AX164" i="8"/>
  <c r="AW164" i="8"/>
  <c r="AV164" i="8"/>
  <c r="AU164" i="8"/>
  <c r="AT164" i="8"/>
  <c r="AS164" i="8"/>
  <c r="AR164" i="8"/>
  <c r="AQ164" i="8"/>
  <c r="AP164" i="8"/>
  <c r="AO164" i="8"/>
  <c r="AN164" i="8"/>
  <c r="AM164" i="8"/>
  <c r="AL164" i="8"/>
  <c r="AK164"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C164" i="8"/>
  <c r="BD164" i="8" s="1"/>
  <c r="BC163" i="8"/>
  <c r="BB163" i="8"/>
  <c r="BA163" i="8"/>
  <c r="AZ163" i="8"/>
  <c r="AY163" i="8"/>
  <c r="AX163" i="8"/>
  <c r="AW163" i="8"/>
  <c r="AV163" i="8"/>
  <c r="AU163" i="8"/>
  <c r="AT163" i="8"/>
  <c r="AS163" i="8"/>
  <c r="AR163" i="8"/>
  <c r="AQ163" i="8"/>
  <c r="AP163" i="8"/>
  <c r="AO163" i="8"/>
  <c r="AN163" i="8"/>
  <c r="AM163" i="8"/>
  <c r="AL163" i="8"/>
  <c r="AK163"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C163" i="8"/>
  <c r="BC161" i="8"/>
  <c r="BB161" i="8"/>
  <c r="BA161" i="8"/>
  <c r="AZ161" i="8"/>
  <c r="AY161" i="8"/>
  <c r="AX161" i="8"/>
  <c r="AW161" i="8"/>
  <c r="AV161" i="8"/>
  <c r="AU161" i="8"/>
  <c r="AT161" i="8"/>
  <c r="AS161" i="8"/>
  <c r="AR161" i="8"/>
  <c r="AQ161" i="8"/>
  <c r="AP161" i="8"/>
  <c r="AO161" i="8"/>
  <c r="AN161" i="8"/>
  <c r="AM161" i="8"/>
  <c r="AL161" i="8"/>
  <c r="AK161"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C161" i="8"/>
  <c r="BD161" i="8" s="1"/>
  <c r="BC160" i="8"/>
  <c r="BB160" i="8"/>
  <c r="BA160" i="8"/>
  <c r="AZ160" i="8"/>
  <c r="AY160" i="8"/>
  <c r="AX160" i="8"/>
  <c r="AW160" i="8"/>
  <c r="AV160" i="8"/>
  <c r="AU160" i="8"/>
  <c r="AT160" i="8"/>
  <c r="AS160" i="8"/>
  <c r="AR160" i="8"/>
  <c r="AQ160" i="8"/>
  <c r="AP160" i="8"/>
  <c r="AO160" i="8"/>
  <c r="AN160" i="8"/>
  <c r="AM160" i="8"/>
  <c r="AL160" i="8"/>
  <c r="AK160"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C160" i="8"/>
  <c r="BD160" i="8" s="1"/>
  <c r="BC158" i="8"/>
  <c r="BB158" i="8"/>
  <c r="BA158" i="8"/>
  <c r="AZ158" i="8"/>
  <c r="AY158" i="8"/>
  <c r="AX158" i="8"/>
  <c r="AW158" i="8"/>
  <c r="AV158" i="8"/>
  <c r="AU158" i="8"/>
  <c r="AT158" i="8"/>
  <c r="AS158" i="8"/>
  <c r="AR158" i="8"/>
  <c r="AQ158" i="8"/>
  <c r="AP158" i="8"/>
  <c r="AO158" i="8"/>
  <c r="AN158" i="8"/>
  <c r="AM158" i="8"/>
  <c r="AL158" i="8"/>
  <c r="AK158"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C158" i="8"/>
  <c r="BD158" i="8" s="1"/>
  <c r="BC157" i="8"/>
  <c r="BB157" i="8"/>
  <c r="BA157" i="8"/>
  <c r="AZ157" i="8"/>
  <c r="AY157" i="8"/>
  <c r="AX157" i="8"/>
  <c r="AW157" i="8"/>
  <c r="AV157" i="8"/>
  <c r="AU157" i="8"/>
  <c r="AT157" i="8"/>
  <c r="AS157" i="8"/>
  <c r="AR157" i="8"/>
  <c r="AQ157" i="8"/>
  <c r="AP157" i="8"/>
  <c r="AO157" i="8"/>
  <c r="AN157" i="8"/>
  <c r="AM157" i="8"/>
  <c r="AL157" i="8"/>
  <c r="AK157"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C157" i="8"/>
  <c r="BD157" i="8" s="1"/>
  <c r="BC156" i="8"/>
  <c r="BB156" i="8"/>
  <c r="BA156" i="8"/>
  <c r="AZ156" i="8"/>
  <c r="AY156" i="8"/>
  <c r="AX156" i="8"/>
  <c r="AW156" i="8"/>
  <c r="AV156" i="8"/>
  <c r="AU156" i="8"/>
  <c r="AT156" i="8"/>
  <c r="AS156" i="8"/>
  <c r="AR156" i="8"/>
  <c r="AQ156" i="8"/>
  <c r="AP156" i="8"/>
  <c r="AO156" i="8"/>
  <c r="AN156" i="8"/>
  <c r="AM156" i="8"/>
  <c r="AL156" i="8"/>
  <c r="AK156"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C156" i="8"/>
  <c r="BC154" i="8"/>
  <c r="BB154" i="8"/>
  <c r="BA154" i="8"/>
  <c r="AZ154" i="8"/>
  <c r="AY154" i="8"/>
  <c r="AX154" i="8"/>
  <c r="AW154" i="8"/>
  <c r="AV154" i="8"/>
  <c r="AU154" i="8"/>
  <c r="AT154" i="8"/>
  <c r="AS154" i="8"/>
  <c r="AR154" i="8"/>
  <c r="AQ154" i="8"/>
  <c r="AP154" i="8"/>
  <c r="AO154" i="8"/>
  <c r="AN154" i="8"/>
  <c r="AM154" i="8"/>
  <c r="AL154" i="8"/>
  <c r="AK154"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C154" i="8"/>
  <c r="BD154" i="8" s="1"/>
  <c r="BC153" i="8"/>
  <c r="BB153" i="8"/>
  <c r="BA153" i="8"/>
  <c r="AZ153" i="8"/>
  <c r="AY153" i="8"/>
  <c r="AX153" i="8"/>
  <c r="AW153" i="8"/>
  <c r="AV153" i="8"/>
  <c r="AU153" i="8"/>
  <c r="AT153" i="8"/>
  <c r="AS153" i="8"/>
  <c r="AR153" i="8"/>
  <c r="AQ153" i="8"/>
  <c r="AP153" i="8"/>
  <c r="AO153" i="8"/>
  <c r="AN153" i="8"/>
  <c r="AM153" i="8"/>
  <c r="AL153" i="8"/>
  <c r="AK153"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C153" i="8"/>
  <c r="BD153" i="8" s="1"/>
  <c r="BC152" i="8"/>
  <c r="BB152" i="8"/>
  <c r="BA152" i="8"/>
  <c r="AZ152" i="8"/>
  <c r="AY152" i="8"/>
  <c r="AX152" i="8"/>
  <c r="AW152" i="8"/>
  <c r="AV152" i="8"/>
  <c r="AU152" i="8"/>
  <c r="AT152" i="8"/>
  <c r="AS152" i="8"/>
  <c r="AR152" i="8"/>
  <c r="AQ152" i="8"/>
  <c r="AP152" i="8"/>
  <c r="AO152" i="8"/>
  <c r="AN152" i="8"/>
  <c r="AM152" i="8"/>
  <c r="AL152" i="8"/>
  <c r="AK152"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C152" i="8"/>
  <c r="BC150" i="8"/>
  <c r="BB150" i="8"/>
  <c r="BA150" i="8"/>
  <c r="AZ150" i="8"/>
  <c r="AY150" i="8"/>
  <c r="AX150" i="8"/>
  <c r="AW150" i="8"/>
  <c r="AV150" i="8"/>
  <c r="AU150" i="8"/>
  <c r="AT150" i="8"/>
  <c r="AS150" i="8"/>
  <c r="AR150" i="8"/>
  <c r="AQ150" i="8"/>
  <c r="AP150" i="8"/>
  <c r="AO150" i="8"/>
  <c r="AN150" i="8"/>
  <c r="AM150" i="8"/>
  <c r="AL150" i="8"/>
  <c r="AK150"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C150" i="8"/>
  <c r="BD150" i="8" s="1"/>
  <c r="BC149" i="8"/>
  <c r="BB149" i="8"/>
  <c r="BA149" i="8"/>
  <c r="AZ149" i="8"/>
  <c r="AY149" i="8"/>
  <c r="AX149" i="8"/>
  <c r="AW149" i="8"/>
  <c r="AV149" i="8"/>
  <c r="AU149" i="8"/>
  <c r="AT149" i="8"/>
  <c r="AS149" i="8"/>
  <c r="AR149" i="8"/>
  <c r="AQ149" i="8"/>
  <c r="AP149" i="8"/>
  <c r="AO149" i="8"/>
  <c r="AN149" i="8"/>
  <c r="AM149" i="8"/>
  <c r="AL149" i="8"/>
  <c r="AK149"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C149" i="8"/>
  <c r="BD149" i="8" s="1"/>
  <c r="BC148" i="8"/>
  <c r="BB148" i="8"/>
  <c r="BA148" i="8"/>
  <c r="AZ148" i="8"/>
  <c r="AY148" i="8"/>
  <c r="AX148" i="8"/>
  <c r="AW148" i="8"/>
  <c r="AV148" i="8"/>
  <c r="AU148" i="8"/>
  <c r="AT148" i="8"/>
  <c r="AS148" i="8"/>
  <c r="AR148" i="8"/>
  <c r="AQ148" i="8"/>
  <c r="AP148" i="8"/>
  <c r="AO148" i="8"/>
  <c r="AN148" i="8"/>
  <c r="AM148" i="8"/>
  <c r="AL148" i="8"/>
  <c r="AK148"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C148" i="8"/>
  <c r="BD148" i="8" s="1"/>
  <c r="BC147" i="8"/>
  <c r="BB147" i="8"/>
  <c r="BA147" i="8"/>
  <c r="AZ147" i="8"/>
  <c r="AY147" i="8"/>
  <c r="AX147" i="8"/>
  <c r="AW147" i="8"/>
  <c r="AV147" i="8"/>
  <c r="AU147" i="8"/>
  <c r="AT147" i="8"/>
  <c r="AS147" i="8"/>
  <c r="AR147" i="8"/>
  <c r="AQ147" i="8"/>
  <c r="AP147" i="8"/>
  <c r="AO147" i="8"/>
  <c r="AN147" i="8"/>
  <c r="AM147" i="8"/>
  <c r="AL147" i="8"/>
  <c r="AK147"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C147" i="8"/>
  <c r="BC145" i="8"/>
  <c r="BB145" i="8"/>
  <c r="BA145" i="8"/>
  <c r="AZ145" i="8"/>
  <c r="AY145" i="8"/>
  <c r="AX145" i="8"/>
  <c r="AW145" i="8"/>
  <c r="AV145" i="8"/>
  <c r="AU145" i="8"/>
  <c r="AT145" i="8"/>
  <c r="AS145" i="8"/>
  <c r="AR145" i="8"/>
  <c r="AQ145" i="8"/>
  <c r="AP145" i="8"/>
  <c r="AO145" i="8"/>
  <c r="AN145" i="8"/>
  <c r="AM145" i="8"/>
  <c r="AL145" i="8"/>
  <c r="AK145"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C145" i="8"/>
  <c r="BD145" i="8" s="1"/>
  <c r="BC144" i="8"/>
  <c r="BB144" i="8"/>
  <c r="BA144" i="8"/>
  <c r="AZ144" i="8"/>
  <c r="AY144" i="8"/>
  <c r="AX144" i="8"/>
  <c r="AW144" i="8"/>
  <c r="AV144" i="8"/>
  <c r="AU144" i="8"/>
  <c r="AT144" i="8"/>
  <c r="AS144" i="8"/>
  <c r="AR144" i="8"/>
  <c r="AQ144" i="8"/>
  <c r="AP144" i="8"/>
  <c r="AO144" i="8"/>
  <c r="AN144" i="8"/>
  <c r="AM144" i="8"/>
  <c r="AL144" i="8"/>
  <c r="AK144"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C144" i="8"/>
  <c r="BD144" i="8" s="1"/>
  <c r="BC143" i="8"/>
  <c r="BB143" i="8"/>
  <c r="BA143" i="8"/>
  <c r="AZ143" i="8"/>
  <c r="AY143" i="8"/>
  <c r="AX143" i="8"/>
  <c r="AW143" i="8"/>
  <c r="AV143" i="8"/>
  <c r="AU143" i="8"/>
  <c r="AT143" i="8"/>
  <c r="AS143" i="8"/>
  <c r="AR143" i="8"/>
  <c r="AQ143" i="8"/>
  <c r="AP143" i="8"/>
  <c r="AO143" i="8"/>
  <c r="AN143" i="8"/>
  <c r="AM143" i="8"/>
  <c r="AL143" i="8"/>
  <c r="AK143"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C143" i="8"/>
  <c r="BD143" i="8" s="1"/>
  <c r="BC142" i="8"/>
  <c r="BB142" i="8"/>
  <c r="BA142" i="8"/>
  <c r="AZ142" i="8"/>
  <c r="AY142" i="8"/>
  <c r="AX142" i="8"/>
  <c r="AW142" i="8"/>
  <c r="AV142" i="8"/>
  <c r="AU142" i="8"/>
  <c r="AT142" i="8"/>
  <c r="AS142" i="8"/>
  <c r="AR142" i="8"/>
  <c r="AQ142" i="8"/>
  <c r="AP142" i="8"/>
  <c r="AO142" i="8"/>
  <c r="AN142" i="8"/>
  <c r="AM142" i="8"/>
  <c r="AL142" i="8"/>
  <c r="AK142"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C142" i="8"/>
  <c r="BD142" i="8" s="1"/>
  <c r="BC141" i="8"/>
  <c r="BB141" i="8"/>
  <c r="BA141" i="8"/>
  <c r="AZ141" i="8"/>
  <c r="AY141" i="8"/>
  <c r="AX141" i="8"/>
  <c r="AW141" i="8"/>
  <c r="AV141" i="8"/>
  <c r="AU141" i="8"/>
  <c r="AT141" i="8"/>
  <c r="AS141" i="8"/>
  <c r="AR141" i="8"/>
  <c r="AQ141" i="8"/>
  <c r="AP141" i="8"/>
  <c r="AO141" i="8"/>
  <c r="AN141" i="8"/>
  <c r="AM141" i="8"/>
  <c r="AL141" i="8"/>
  <c r="AK141"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C141" i="8"/>
  <c r="BD141" i="8" s="1"/>
  <c r="BC140" i="8"/>
  <c r="BB140" i="8"/>
  <c r="BA140" i="8"/>
  <c r="AZ140" i="8"/>
  <c r="AY140" i="8"/>
  <c r="AX140" i="8"/>
  <c r="AW140" i="8"/>
  <c r="AV140" i="8"/>
  <c r="AU140" i="8"/>
  <c r="AT140" i="8"/>
  <c r="AS140" i="8"/>
  <c r="AR140" i="8"/>
  <c r="AQ140" i="8"/>
  <c r="AP140" i="8"/>
  <c r="AO140" i="8"/>
  <c r="AN140" i="8"/>
  <c r="AM140" i="8"/>
  <c r="AL140" i="8"/>
  <c r="AK140"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C140" i="8"/>
  <c r="BC138" i="8"/>
  <c r="BB138" i="8"/>
  <c r="BA138" i="8"/>
  <c r="AZ138" i="8"/>
  <c r="AY138" i="8"/>
  <c r="AX138" i="8"/>
  <c r="AW138" i="8"/>
  <c r="AV138" i="8"/>
  <c r="AU138" i="8"/>
  <c r="AT138" i="8"/>
  <c r="AS138" i="8"/>
  <c r="AR138" i="8"/>
  <c r="AQ138" i="8"/>
  <c r="AP138" i="8"/>
  <c r="AO138" i="8"/>
  <c r="AN138" i="8"/>
  <c r="AM138" i="8"/>
  <c r="AL138" i="8"/>
  <c r="AK138"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C138" i="8"/>
  <c r="BD138" i="8" s="1"/>
  <c r="BC137" i="8"/>
  <c r="BB137" i="8"/>
  <c r="BA137" i="8"/>
  <c r="AZ137" i="8"/>
  <c r="AY137" i="8"/>
  <c r="AX137" i="8"/>
  <c r="AW137" i="8"/>
  <c r="AV137" i="8"/>
  <c r="AU137" i="8"/>
  <c r="AT137" i="8"/>
  <c r="AS137" i="8"/>
  <c r="AR137" i="8"/>
  <c r="AQ137" i="8"/>
  <c r="AP137" i="8"/>
  <c r="AO137" i="8"/>
  <c r="AN137" i="8"/>
  <c r="AM137" i="8"/>
  <c r="AL137" i="8"/>
  <c r="AK137"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C137" i="8"/>
  <c r="BD137" i="8" s="1"/>
  <c r="BC136" i="8"/>
  <c r="BB136" i="8"/>
  <c r="BA136" i="8"/>
  <c r="AZ136" i="8"/>
  <c r="AY136" i="8"/>
  <c r="AX136" i="8"/>
  <c r="AW136" i="8"/>
  <c r="AV136" i="8"/>
  <c r="AU136" i="8"/>
  <c r="AT136" i="8"/>
  <c r="AS136" i="8"/>
  <c r="AR136" i="8"/>
  <c r="AQ136" i="8"/>
  <c r="AP136" i="8"/>
  <c r="AO136" i="8"/>
  <c r="AN136" i="8"/>
  <c r="AM136" i="8"/>
  <c r="AL136" i="8"/>
  <c r="AK136"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C136" i="8"/>
  <c r="BD136" i="8" s="1"/>
  <c r="BC135" i="8"/>
  <c r="BB135" i="8"/>
  <c r="BA135" i="8"/>
  <c r="AZ135" i="8"/>
  <c r="AY135" i="8"/>
  <c r="AX135" i="8"/>
  <c r="AW135" i="8"/>
  <c r="AV135" i="8"/>
  <c r="AU135" i="8"/>
  <c r="AT135" i="8"/>
  <c r="AS135" i="8"/>
  <c r="AR135" i="8"/>
  <c r="AQ135" i="8"/>
  <c r="AP135" i="8"/>
  <c r="AO135" i="8"/>
  <c r="AN135" i="8"/>
  <c r="AM135" i="8"/>
  <c r="AL135" i="8"/>
  <c r="AK135" i="8"/>
  <c r="AJ135" i="8"/>
  <c r="AI135" i="8"/>
  <c r="AH135" i="8"/>
  <c r="AG135" i="8"/>
  <c r="AF135" i="8"/>
  <c r="AE135" i="8"/>
  <c r="AD135" i="8"/>
  <c r="AC135" i="8"/>
  <c r="AB135" i="8"/>
  <c r="AA135" i="8"/>
  <c r="Z135" i="8"/>
  <c r="Y135" i="8"/>
  <c r="X135" i="8"/>
  <c r="W135" i="8"/>
  <c r="V135" i="8"/>
  <c r="U135" i="8"/>
  <c r="T135" i="8"/>
  <c r="S135" i="8"/>
  <c r="R135" i="8"/>
  <c r="Q135" i="8"/>
  <c r="P135" i="8"/>
  <c r="O135" i="8"/>
  <c r="N135" i="8"/>
  <c r="M135" i="8"/>
  <c r="L135" i="8"/>
  <c r="K135" i="8"/>
  <c r="J135" i="8"/>
  <c r="I135" i="8"/>
  <c r="H135" i="8"/>
  <c r="G135" i="8"/>
  <c r="F135" i="8"/>
  <c r="E135" i="8"/>
  <c r="D135" i="8"/>
  <c r="C135" i="8"/>
  <c r="BD135" i="8" s="1"/>
  <c r="BC134" i="8"/>
  <c r="BB134" i="8"/>
  <c r="BA134" i="8"/>
  <c r="AZ134" i="8"/>
  <c r="AY134" i="8"/>
  <c r="AX134" i="8"/>
  <c r="AW134" i="8"/>
  <c r="AV134" i="8"/>
  <c r="AU134" i="8"/>
  <c r="AT134" i="8"/>
  <c r="AS134" i="8"/>
  <c r="AR134" i="8"/>
  <c r="AQ134" i="8"/>
  <c r="AP134" i="8"/>
  <c r="AO134" i="8"/>
  <c r="AN134" i="8"/>
  <c r="AM134" i="8"/>
  <c r="AL134" i="8"/>
  <c r="AK134" i="8"/>
  <c r="AJ134" i="8"/>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C134" i="8"/>
  <c r="BD134" i="8" s="1"/>
  <c r="BC133" i="8"/>
  <c r="BB133" i="8"/>
  <c r="BA133" i="8"/>
  <c r="AZ133" i="8"/>
  <c r="AY133" i="8"/>
  <c r="AX133" i="8"/>
  <c r="AW133" i="8"/>
  <c r="AV133" i="8"/>
  <c r="AU133" i="8"/>
  <c r="AT133" i="8"/>
  <c r="AS133" i="8"/>
  <c r="AR133" i="8"/>
  <c r="AQ133" i="8"/>
  <c r="AP133" i="8"/>
  <c r="AO133" i="8"/>
  <c r="AN133" i="8"/>
  <c r="AM133" i="8"/>
  <c r="AL133" i="8"/>
  <c r="AK133" i="8"/>
  <c r="AJ133" i="8"/>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C133" i="8"/>
  <c r="BD133" i="8" s="1"/>
  <c r="BC132" i="8"/>
  <c r="BB132" i="8"/>
  <c r="BA132" i="8"/>
  <c r="AZ132" i="8"/>
  <c r="AY132" i="8"/>
  <c r="AX132" i="8"/>
  <c r="AW132" i="8"/>
  <c r="AV132" i="8"/>
  <c r="AU132" i="8"/>
  <c r="AT132" i="8"/>
  <c r="AS132" i="8"/>
  <c r="AR132" i="8"/>
  <c r="AQ132" i="8"/>
  <c r="AP132" i="8"/>
  <c r="AO132" i="8"/>
  <c r="AN132" i="8"/>
  <c r="AM132" i="8"/>
  <c r="AL132" i="8"/>
  <c r="AK132" i="8"/>
  <c r="AJ132" i="8"/>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C132" i="8"/>
  <c r="BC130" i="8"/>
  <c r="BB130" i="8"/>
  <c r="BA130" i="8"/>
  <c r="AZ130" i="8"/>
  <c r="AY130" i="8"/>
  <c r="AX130" i="8"/>
  <c r="AW130" i="8"/>
  <c r="AV130" i="8"/>
  <c r="AU130" i="8"/>
  <c r="AT130" i="8"/>
  <c r="AS130" i="8"/>
  <c r="AR130" i="8"/>
  <c r="AQ130" i="8"/>
  <c r="AP130" i="8"/>
  <c r="AO130" i="8"/>
  <c r="AN130" i="8"/>
  <c r="AM130" i="8"/>
  <c r="AL130" i="8"/>
  <c r="AK130" i="8"/>
  <c r="AJ130" i="8"/>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BC169" i="4"/>
  <c r="BB169" i="4"/>
  <c r="BA169" i="4"/>
  <c r="AZ169" i="4"/>
  <c r="AY169" i="4"/>
  <c r="AX169" i="4"/>
  <c r="AW169" i="4"/>
  <c r="AV169" i="4"/>
  <c r="AU169" i="4"/>
  <c r="AT169" i="4"/>
  <c r="AS169" i="4"/>
  <c r="AR169" i="4"/>
  <c r="AQ169" i="4"/>
  <c r="AP169" i="4"/>
  <c r="AO169" i="4"/>
  <c r="AN169" i="4"/>
  <c r="AM169" i="4"/>
  <c r="AL169" i="4"/>
  <c r="AK169" i="4"/>
  <c r="AJ169" i="4"/>
  <c r="AI169" i="4"/>
  <c r="AH169" i="4"/>
  <c r="AG169" i="4"/>
  <c r="AF169" i="4"/>
  <c r="AE169" i="4"/>
  <c r="AD169" i="4"/>
  <c r="AC169" i="4"/>
  <c r="AB169" i="4"/>
  <c r="AA169" i="4"/>
  <c r="Z169" i="4"/>
  <c r="Y169" i="4"/>
  <c r="X169" i="4"/>
  <c r="W169" i="4"/>
  <c r="V169" i="4"/>
  <c r="U169" i="4"/>
  <c r="T169" i="4"/>
  <c r="S169" i="4"/>
  <c r="R169" i="4"/>
  <c r="Q169" i="4"/>
  <c r="P169" i="4"/>
  <c r="O169" i="4"/>
  <c r="N169" i="4"/>
  <c r="M169" i="4"/>
  <c r="L169" i="4"/>
  <c r="K169" i="4"/>
  <c r="J169" i="4"/>
  <c r="I169" i="4"/>
  <c r="H169" i="4"/>
  <c r="G169" i="4"/>
  <c r="F169" i="4"/>
  <c r="BC168" i="4"/>
  <c r="BB168" i="4"/>
  <c r="BA168" i="4"/>
  <c r="AZ168" i="4"/>
  <c r="AY168" i="4"/>
  <c r="AX168" i="4"/>
  <c r="AW168" i="4"/>
  <c r="AV168" i="4"/>
  <c r="AU168" i="4"/>
  <c r="AT168" i="4"/>
  <c r="AS168" i="4"/>
  <c r="AR168" i="4"/>
  <c r="AQ168" i="4"/>
  <c r="AP168" i="4"/>
  <c r="AO168" i="4"/>
  <c r="AN168" i="4"/>
  <c r="AM168" i="4"/>
  <c r="AL168" i="4"/>
  <c r="AK168" i="4"/>
  <c r="AJ168" i="4"/>
  <c r="AI168" i="4"/>
  <c r="AH168" i="4"/>
  <c r="AG168" i="4"/>
  <c r="AF168" i="4"/>
  <c r="AE168" i="4"/>
  <c r="AD168" i="4"/>
  <c r="AC168" i="4"/>
  <c r="AB168" i="4"/>
  <c r="AA168" i="4"/>
  <c r="Z168" i="4"/>
  <c r="Y168" i="4"/>
  <c r="X168" i="4"/>
  <c r="W168" i="4"/>
  <c r="V168" i="4"/>
  <c r="U168" i="4"/>
  <c r="T168" i="4"/>
  <c r="S168" i="4"/>
  <c r="R168" i="4"/>
  <c r="Q168" i="4"/>
  <c r="P168" i="4"/>
  <c r="O168" i="4"/>
  <c r="N168" i="4"/>
  <c r="M168" i="4"/>
  <c r="L168" i="4"/>
  <c r="K168" i="4"/>
  <c r="J168" i="4"/>
  <c r="I168" i="4"/>
  <c r="H168" i="4"/>
  <c r="G168" i="4"/>
  <c r="F168" i="4"/>
  <c r="BC165" i="4"/>
  <c r="BB165" i="4"/>
  <c r="BA165" i="4"/>
  <c r="AZ165" i="4"/>
  <c r="AY165" i="4"/>
  <c r="AX165" i="4"/>
  <c r="AW165" i="4"/>
  <c r="AV165" i="4"/>
  <c r="AU165" i="4"/>
  <c r="AT165" i="4"/>
  <c r="AS165" i="4"/>
  <c r="AR165" i="4"/>
  <c r="AQ165" i="4"/>
  <c r="AP165" i="4"/>
  <c r="AO165" i="4"/>
  <c r="AN165" i="4"/>
  <c r="AM165" i="4"/>
  <c r="AL165" i="4"/>
  <c r="AK165" i="4"/>
  <c r="AJ165" i="4"/>
  <c r="AI165" i="4"/>
  <c r="AH165" i="4"/>
  <c r="AG165" i="4"/>
  <c r="AF165" i="4"/>
  <c r="AE165" i="4"/>
  <c r="AD165" i="4"/>
  <c r="AC165" i="4"/>
  <c r="AB165" i="4"/>
  <c r="AA165" i="4"/>
  <c r="Z165" i="4"/>
  <c r="Y165" i="4"/>
  <c r="X165" i="4"/>
  <c r="W165" i="4"/>
  <c r="V165" i="4"/>
  <c r="U165" i="4"/>
  <c r="T165" i="4"/>
  <c r="S165" i="4"/>
  <c r="R165" i="4"/>
  <c r="Q165" i="4"/>
  <c r="P165" i="4"/>
  <c r="O165" i="4"/>
  <c r="N165" i="4"/>
  <c r="M165" i="4"/>
  <c r="L165" i="4"/>
  <c r="K165" i="4"/>
  <c r="J165" i="4"/>
  <c r="I165" i="4"/>
  <c r="H165" i="4"/>
  <c r="G165" i="4"/>
  <c r="F165" i="4"/>
  <c r="BC164" i="4"/>
  <c r="BB164" i="4"/>
  <c r="BA164" i="4"/>
  <c r="AZ164" i="4"/>
  <c r="AY164" i="4"/>
  <c r="AX164" i="4"/>
  <c r="AW164" i="4"/>
  <c r="AV164" i="4"/>
  <c r="AU164" i="4"/>
  <c r="AT164" i="4"/>
  <c r="AS164" i="4"/>
  <c r="AR164" i="4"/>
  <c r="AQ164" i="4"/>
  <c r="AP164" i="4"/>
  <c r="AO164" i="4"/>
  <c r="AN164" i="4"/>
  <c r="AM164" i="4"/>
  <c r="AL164" i="4"/>
  <c r="AK164" i="4"/>
  <c r="AJ164" i="4"/>
  <c r="AI164" i="4"/>
  <c r="AH164" i="4"/>
  <c r="AG164" i="4"/>
  <c r="AF164" i="4"/>
  <c r="AE164" i="4"/>
  <c r="AD164" i="4"/>
  <c r="AC164" i="4"/>
  <c r="AB164" i="4"/>
  <c r="AA164" i="4"/>
  <c r="Z164" i="4"/>
  <c r="Y164" i="4"/>
  <c r="X164" i="4"/>
  <c r="W164" i="4"/>
  <c r="V164" i="4"/>
  <c r="U164" i="4"/>
  <c r="T164" i="4"/>
  <c r="S164" i="4"/>
  <c r="R164" i="4"/>
  <c r="Q164" i="4"/>
  <c r="P164" i="4"/>
  <c r="O164" i="4"/>
  <c r="N164" i="4"/>
  <c r="M164" i="4"/>
  <c r="L164" i="4"/>
  <c r="K164" i="4"/>
  <c r="J164" i="4"/>
  <c r="I164" i="4"/>
  <c r="H164" i="4"/>
  <c r="G164" i="4"/>
  <c r="F164" i="4"/>
  <c r="BC163" i="4"/>
  <c r="BB163" i="4"/>
  <c r="BA163" i="4"/>
  <c r="AZ163" i="4"/>
  <c r="AY163" i="4"/>
  <c r="AX163" i="4"/>
  <c r="AW163" i="4"/>
  <c r="AV163" i="4"/>
  <c r="AU163" i="4"/>
  <c r="AT163" i="4"/>
  <c r="AS163" i="4"/>
  <c r="AR163" i="4"/>
  <c r="AQ163" i="4"/>
  <c r="AP163" i="4"/>
  <c r="AO163" i="4"/>
  <c r="AN163" i="4"/>
  <c r="AM163" i="4"/>
  <c r="AL163" i="4"/>
  <c r="AK163" i="4"/>
  <c r="AJ163" i="4"/>
  <c r="AI163" i="4"/>
  <c r="AH163" i="4"/>
  <c r="AG163" i="4"/>
  <c r="AF163" i="4"/>
  <c r="AE163" i="4"/>
  <c r="AD163" i="4"/>
  <c r="AC163" i="4"/>
  <c r="AB163" i="4"/>
  <c r="AA163" i="4"/>
  <c r="Z163" i="4"/>
  <c r="Y163" i="4"/>
  <c r="X163" i="4"/>
  <c r="W163" i="4"/>
  <c r="V163" i="4"/>
  <c r="U163" i="4"/>
  <c r="T163" i="4"/>
  <c r="S163" i="4"/>
  <c r="R163" i="4"/>
  <c r="Q163" i="4"/>
  <c r="P163" i="4"/>
  <c r="O163" i="4"/>
  <c r="N163" i="4"/>
  <c r="M163" i="4"/>
  <c r="L163" i="4"/>
  <c r="K163" i="4"/>
  <c r="J163" i="4"/>
  <c r="I163" i="4"/>
  <c r="H163" i="4"/>
  <c r="G163" i="4"/>
  <c r="F163" i="4"/>
  <c r="BC162" i="4"/>
  <c r="BB162" i="4"/>
  <c r="BA162" i="4"/>
  <c r="AZ162" i="4"/>
  <c r="AY162" i="4"/>
  <c r="AX162" i="4"/>
  <c r="AW162" i="4"/>
  <c r="AV162" i="4"/>
  <c r="AU162" i="4"/>
  <c r="AT162" i="4"/>
  <c r="AS162" i="4"/>
  <c r="AR162" i="4"/>
  <c r="AQ162" i="4"/>
  <c r="AP162" i="4"/>
  <c r="AO162" i="4"/>
  <c r="AN162" i="4"/>
  <c r="AM162" i="4"/>
  <c r="AL162" i="4"/>
  <c r="AK162" i="4"/>
  <c r="AJ162" i="4"/>
  <c r="AI162" i="4"/>
  <c r="AH162" i="4"/>
  <c r="AG162" i="4"/>
  <c r="AF162" i="4"/>
  <c r="AE162" i="4"/>
  <c r="AD162" i="4"/>
  <c r="AC162" i="4"/>
  <c r="AB162" i="4"/>
  <c r="AA162" i="4"/>
  <c r="Z162" i="4"/>
  <c r="Y162" i="4"/>
  <c r="X162" i="4"/>
  <c r="W162" i="4"/>
  <c r="V162" i="4"/>
  <c r="U162" i="4"/>
  <c r="T162" i="4"/>
  <c r="S162" i="4"/>
  <c r="R162" i="4"/>
  <c r="Q162" i="4"/>
  <c r="P162" i="4"/>
  <c r="O162" i="4"/>
  <c r="N162" i="4"/>
  <c r="M162" i="4"/>
  <c r="L162" i="4"/>
  <c r="K162" i="4"/>
  <c r="J162" i="4"/>
  <c r="I162" i="4"/>
  <c r="H162" i="4"/>
  <c r="G162" i="4"/>
  <c r="F162" i="4"/>
  <c r="BC161" i="4"/>
  <c r="BB161" i="4"/>
  <c r="BA161" i="4"/>
  <c r="AZ161" i="4"/>
  <c r="AY161" i="4"/>
  <c r="AX161" i="4"/>
  <c r="AW161" i="4"/>
  <c r="AV161" i="4"/>
  <c r="AU161" i="4"/>
  <c r="AT161" i="4"/>
  <c r="AS161" i="4"/>
  <c r="AR161" i="4"/>
  <c r="AQ161" i="4"/>
  <c r="AP161" i="4"/>
  <c r="AO161" i="4"/>
  <c r="AN161" i="4"/>
  <c r="AM161" i="4"/>
  <c r="AL161" i="4"/>
  <c r="AK161" i="4"/>
  <c r="AJ161" i="4"/>
  <c r="AI161" i="4"/>
  <c r="AH161" i="4"/>
  <c r="AG161" i="4"/>
  <c r="AF161" i="4"/>
  <c r="AE161" i="4"/>
  <c r="AD161" i="4"/>
  <c r="AC161" i="4"/>
  <c r="AB161" i="4"/>
  <c r="AA161" i="4"/>
  <c r="Z161" i="4"/>
  <c r="Y161" i="4"/>
  <c r="X161" i="4"/>
  <c r="W161" i="4"/>
  <c r="V161" i="4"/>
  <c r="U161" i="4"/>
  <c r="T161" i="4"/>
  <c r="S161" i="4"/>
  <c r="R161" i="4"/>
  <c r="Q161" i="4"/>
  <c r="P161" i="4"/>
  <c r="O161" i="4"/>
  <c r="N161" i="4"/>
  <c r="M161" i="4"/>
  <c r="L161" i="4"/>
  <c r="K161" i="4"/>
  <c r="J161" i="4"/>
  <c r="I161" i="4"/>
  <c r="H161" i="4"/>
  <c r="G161" i="4"/>
  <c r="F161" i="4"/>
  <c r="BC160" i="4"/>
  <c r="BB160" i="4"/>
  <c r="BA160" i="4"/>
  <c r="AZ160" i="4"/>
  <c r="AY160" i="4"/>
  <c r="AX160" i="4"/>
  <c r="AW160" i="4"/>
  <c r="AV160" i="4"/>
  <c r="AU160" i="4"/>
  <c r="AT160" i="4"/>
  <c r="AS160" i="4"/>
  <c r="AR160" i="4"/>
  <c r="AQ160" i="4"/>
  <c r="AP160" i="4"/>
  <c r="AO160" i="4"/>
  <c r="AN160" i="4"/>
  <c r="AM160" i="4"/>
  <c r="AL160" i="4"/>
  <c r="AK160" i="4"/>
  <c r="AJ160" i="4"/>
  <c r="AI160" i="4"/>
  <c r="AH160" i="4"/>
  <c r="AG160" i="4"/>
  <c r="AF160" i="4"/>
  <c r="AE160" i="4"/>
  <c r="AD160" i="4"/>
  <c r="AC160" i="4"/>
  <c r="AB160" i="4"/>
  <c r="AA160" i="4"/>
  <c r="Z160" i="4"/>
  <c r="Y160" i="4"/>
  <c r="X160" i="4"/>
  <c r="W160" i="4"/>
  <c r="V160" i="4"/>
  <c r="U160" i="4"/>
  <c r="T160" i="4"/>
  <c r="S160" i="4"/>
  <c r="R160" i="4"/>
  <c r="Q160" i="4"/>
  <c r="P160" i="4"/>
  <c r="O160" i="4"/>
  <c r="N160" i="4"/>
  <c r="M160" i="4"/>
  <c r="L160" i="4"/>
  <c r="K160" i="4"/>
  <c r="J160" i="4"/>
  <c r="I160" i="4"/>
  <c r="H160" i="4"/>
  <c r="G160" i="4"/>
  <c r="F160" i="4"/>
  <c r="BC158" i="4"/>
  <c r="BB158" i="4"/>
  <c r="BA158" i="4"/>
  <c r="AZ158" i="4"/>
  <c r="AY158" i="4"/>
  <c r="AX158" i="4"/>
  <c r="AW158" i="4"/>
  <c r="AV158" i="4"/>
  <c r="AU158" i="4"/>
  <c r="AT158" i="4"/>
  <c r="AS158" i="4"/>
  <c r="AR158" i="4"/>
  <c r="AQ158" i="4"/>
  <c r="AP158" i="4"/>
  <c r="AO158" i="4"/>
  <c r="AN158" i="4"/>
  <c r="AM158" i="4"/>
  <c r="AL158" i="4"/>
  <c r="AK158" i="4"/>
  <c r="AJ158" i="4"/>
  <c r="AI158" i="4"/>
  <c r="AH158" i="4"/>
  <c r="AG158" i="4"/>
  <c r="AF158" i="4"/>
  <c r="AE158" i="4"/>
  <c r="AD158" i="4"/>
  <c r="AC158" i="4"/>
  <c r="AB158" i="4"/>
  <c r="AA158" i="4"/>
  <c r="Z158" i="4"/>
  <c r="Y158" i="4"/>
  <c r="X158" i="4"/>
  <c r="W158" i="4"/>
  <c r="V158" i="4"/>
  <c r="U158" i="4"/>
  <c r="T158" i="4"/>
  <c r="S158" i="4"/>
  <c r="R158" i="4"/>
  <c r="Q158" i="4"/>
  <c r="P158" i="4"/>
  <c r="O158" i="4"/>
  <c r="N158" i="4"/>
  <c r="M158" i="4"/>
  <c r="L158" i="4"/>
  <c r="K158" i="4"/>
  <c r="J158" i="4"/>
  <c r="I158" i="4"/>
  <c r="H158" i="4"/>
  <c r="G158" i="4"/>
  <c r="F158" i="4"/>
  <c r="BC157" i="4"/>
  <c r="BB157" i="4"/>
  <c r="BA157" i="4"/>
  <c r="AZ157" i="4"/>
  <c r="AY157" i="4"/>
  <c r="AX157" i="4"/>
  <c r="AW157" i="4"/>
  <c r="AV157" i="4"/>
  <c r="AU157" i="4"/>
  <c r="AT157" i="4"/>
  <c r="AS157" i="4"/>
  <c r="AR157" i="4"/>
  <c r="AQ157" i="4"/>
  <c r="AP157" i="4"/>
  <c r="AO157" i="4"/>
  <c r="AN157" i="4"/>
  <c r="AM157" i="4"/>
  <c r="AL157" i="4"/>
  <c r="AK157" i="4"/>
  <c r="AJ157" i="4"/>
  <c r="AI157" i="4"/>
  <c r="AH157" i="4"/>
  <c r="AG157" i="4"/>
  <c r="AF157" i="4"/>
  <c r="AE157" i="4"/>
  <c r="AD157" i="4"/>
  <c r="AC157" i="4"/>
  <c r="AB157" i="4"/>
  <c r="AA157" i="4"/>
  <c r="Z157" i="4"/>
  <c r="Y157" i="4"/>
  <c r="X157" i="4"/>
  <c r="W157" i="4"/>
  <c r="V157" i="4"/>
  <c r="U157" i="4"/>
  <c r="T157" i="4"/>
  <c r="S157" i="4"/>
  <c r="R157" i="4"/>
  <c r="Q157" i="4"/>
  <c r="P157" i="4"/>
  <c r="O157" i="4"/>
  <c r="N157" i="4"/>
  <c r="M157" i="4"/>
  <c r="L157" i="4"/>
  <c r="K157" i="4"/>
  <c r="J157" i="4"/>
  <c r="I157" i="4"/>
  <c r="H157" i="4"/>
  <c r="G157" i="4"/>
  <c r="F157" i="4"/>
  <c r="BC155" i="4"/>
  <c r="BB155" i="4"/>
  <c r="BA155" i="4"/>
  <c r="AZ155" i="4"/>
  <c r="AY155" i="4"/>
  <c r="AX155" i="4"/>
  <c r="AW155" i="4"/>
  <c r="AV155" i="4"/>
  <c r="AU155" i="4"/>
  <c r="AT155" i="4"/>
  <c r="AS155" i="4"/>
  <c r="AR155" i="4"/>
  <c r="AQ155" i="4"/>
  <c r="AP155" i="4"/>
  <c r="AO155" i="4"/>
  <c r="AN155" i="4"/>
  <c r="AM155" i="4"/>
  <c r="AL155" i="4"/>
  <c r="AK155" i="4"/>
  <c r="AJ155" i="4"/>
  <c r="AI155" i="4"/>
  <c r="AH155" i="4"/>
  <c r="AG155" i="4"/>
  <c r="AF155" i="4"/>
  <c r="AE155" i="4"/>
  <c r="AD155" i="4"/>
  <c r="AC155" i="4"/>
  <c r="AB155" i="4"/>
  <c r="AA155" i="4"/>
  <c r="Z155" i="4"/>
  <c r="Y155" i="4"/>
  <c r="X155" i="4"/>
  <c r="W155" i="4"/>
  <c r="V155" i="4"/>
  <c r="U155" i="4"/>
  <c r="T155" i="4"/>
  <c r="S155" i="4"/>
  <c r="R155" i="4"/>
  <c r="Q155" i="4"/>
  <c r="P155" i="4"/>
  <c r="O155" i="4"/>
  <c r="N155" i="4"/>
  <c r="M155" i="4"/>
  <c r="L155" i="4"/>
  <c r="K155" i="4"/>
  <c r="J155" i="4"/>
  <c r="I155" i="4"/>
  <c r="H155" i="4"/>
  <c r="G155" i="4"/>
  <c r="F155" i="4"/>
  <c r="BC154" i="4"/>
  <c r="BB154" i="4"/>
  <c r="BA154" i="4"/>
  <c r="AZ154" i="4"/>
  <c r="AY154" i="4"/>
  <c r="AX154" i="4"/>
  <c r="AW154" i="4"/>
  <c r="AV154" i="4"/>
  <c r="AU154" i="4"/>
  <c r="AT154" i="4"/>
  <c r="AS154" i="4"/>
  <c r="AR154" i="4"/>
  <c r="AQ154" i="4"/>
  <c r="AP154" i="4"/>
  <c r="AO154" i="4"/>
  <c r="AN154" i="4"/>
  <c r="AM154" i="4"/>
  <c r="AL154" i="4"/>
  <c r="AK154" i="4"/>
  <c r="AJ154" i="4"/>
  <c r="AI154" i="4"/>
  <c r="AH154" i="4"/>
  <c r="AG154" i="4"/>
  <c r="AF154" i="4"/>
  <c r="AE154" i="4"/>
  <c r="AD154" i="4"/>
  <c r="AC154" i="4"/>
  <c r="AB154" i="4"/>
  <c r="AA154" i="4"/>
  <c r="Z154" i="4"/>
  <c r="Y154" i="4"/>
  <c r="X154" i="4"/>
  <c r="W154" i="4"/>
  <c r="V154" i="4"/>
  <c r="U154" i="4"/>
  <c r="T154" i="4"/>
  <c r="S154" i="4"/>
  <c r="R154" i="4"/>
  <c r="Q154" i="4"/>
  <c r="P154" i="4"/>
  <c r="O154" i="4"/>
  <c r="N154" i="4"/>
  <c r="M154" i="4"/>
  <c r="L154" i="4"/>
  <c r="K154" i="4"/>
  <c r="J154" i="4"/>
  <c r="I154" i="4"/>
  <c r="H154" i="4"/>
  <c r="G154" i="4"/>
  <c r="F154" i="4"/>
  <c r="BC153" i="4"/>
  <c r="BB153" i="4"/>
  <c r="BA153" i="4"/>
  <c r="AZ153" i="4"/>
  <c r="AY153" i="4"/>
  <c r="AX153" i="4"/>
  <c r="AW153" i="4"/>
  <c r="AV153" i="4"/>
  <c r="AU153" i="4"/>
  <c r="AT153" i="4"/>
  <c r="AS153" i="4"/>
  <c r="AR153" i="4"/>
  <c r="AQ153" i="4"/>
  <c r="AP153" i="4"/>
  <c r="AO153" i="4"/>
  <c r="AN153" i="4"/>
  <c r="AM153" i="4"/>
  <c r="AL153" i="4"/>
  <c r="AK153" i="4"/>
  <c r="AJ153" i="4"/>
  <c r="AI153" i="4"/>
  <c r="AH153" i="4"/>
  <c r="AG153" i="4"/>
  <c r="AF153" i="4"/>
  <c r="AE153" i="4"/>
  <c r="AD153" i="4"/>
  <c r="AC153" i="4"/>
  <c r="AB153" i="4"/>
  <c r="AA153" i="4"/>
  <c r="Z153" i="4"/>
  <c r="Y153" i="4"/>
  <c r="X153" i="4"/>
  <c r="W153" i="4"/>
  <c r="V153" i="4"/>
  <c r="U153" i="4"/>
  <c r="T153" i="4"/>
  <c r="S153" i="4"/>
  <c r="R153" i="4"/>
  <c r="Q153" i="4"/>
  <c r="P153" i="4"/>
  <c r="O153" i="4"/>
  <c r="N153" i="4"/>
  <c r="M153" i="4"/>
  <c r="L153" i="4"/>
  <c r="K153" i="4"/>
  <c r="J153" i="4"/>
  <c r="I153" i="4"/>
  <c r="H153" i="4"/>
  <c r="G153" i="4"/>
  <c r="F153" i="4"/>
  <c r="BC151" i="4"/>
  <c r="BB151" i="4"/>
  <c r="BA151" i="4"/>
  <c r="AZ151" i="4"/>
  <c r="AY151" i="4"/>
  <c r="AX151" i="4"/>
  <c r="AW151" i="4"/>
  <c r="AV151" i="4"/>
  <c r="AU151" i="4"/>
  <c r="AT151" i="4"/>
  <c r="AS151" i="4"/>
  <c r="AR151" i="4"/>
  <c r="AQ151" i="4"/>
  <c r="AP151" i="4"/>
  <c r="AO151" i="4"/>
  <c r="AN151" i="4"/>
  <c r="AM151" i="4"/>
  <c r="AL151" i="4"/>
  <c r="AK151" i="4"/>
  <c r="AJ151" i="4"/>
  <c r="AI151" i="4"/>
  <c r="AH151" i="4"/>
  <c r="AG151" i="4"/>
  <c r="AF151" i="4"/>
  <c r="AE151" i="4"/>
  <c r="AD151" i="4"/>
  <c r="AC151" i="4"/>
  <c r="AB151" i="4"/>
  <c r="AA151" i="4"/>
  <c r="Z151" i="4"/>
  <c r="Y151" i="4"/>
  <c r="X151" i="4"/>
  <c r="W151" i="4"/>
  <c r="V151" i="4"/>
  <c r="U151" i="4"/>
  <c r="T151" i="4"/>
  <c r="S151" i="4"/>
  <c r="R151" i="4"/>
  <c r="Q151" i="4"/>
  <c r="P151" i="4"/>
  <c r="O151" i="4"/>
  <c r="N151" i="4"/>
  <c r="M151" i="4"/>
  <c r="L151" i="4"/>
  <c r="K151" i="4"/>
  <c r="J151" i="4"/>
  <c r="I151" i="4"/>
  <c r="H151" i="4"/>
  <c r="G151" i="4"/>
  <c r="F151" i="4"/>
  <c r="BC150" i="4"/>
  <c r="BB150" i="4"/>
  <c r="BA150" i="4"/>
  <c r="AZ150" i="4"/>
  <c r="AY150" i="4"/>
  <c r="AX150" i="4"/>
  <c r="AW150" i="4"/>
  <c r="AV150" i="4"/>
  <c r="AU150" i="4"/>
  <c r="AT150" i="4"/>
  <c r="AS150" i="4"/>
  <c r="AR150" i="4"/>
  <c r="AQ150" i="4"/>
  <c r="AP150" i="4"/>
  <c r="AO150" i="4"/>
  <c r="AN150" i="4"/>
  <c r="AM150" i="4"/>
  <c r="AL150" i="4"/>
  <c r="AK150" i="4"/>
  <c r="AJ150" i="4"/>
  <c r="AI150" i="4"/>
  <c r="AH150" i="4"/>
  <c r="AG150" i="4"/>
  <c r="AF150" i="4"/>
  <c r="AE150" i="4"/>
  <c r="AD150" i="4"/>
  <c r="AC150" i="4"/>
  <c r="AB150" i="4"/>
  <c r="AA150" i="4"/>
  <c r="Z150" i="4"/>
  <c r="Y150" i="4"/>
  <c r="X150" i="4"/>
  <c r="W150" i="4"/>
  <c r="V150" i="4"/>
  <c r="U150" i="4"/>
  <c r="T150" i="4"/>
  <c r="S150" i="4"/>
  <c r="R150" i="4"/>
  <c r="Q150" i="4"/>
  <c r="P150" i="4"/>
  <c r="O150" i="4"/>
  <c r="N150" i="4"/>
  <c r="M150" i="4"/>
  <c r="L150" i="4"/>
  <c r="K150" i="4"/>
  <c r="J150" i="4"/>
  <c r="I150" i="4"/>
  <c r="H150" i="4"/>
  <c r="G150" i="4"/>
  <c r="F150" i="4"/>
  <c r="BC149" i="4"/>
  <c r="BB149" i="4"/>
  <c r="BA149" i="4"/>
  <c r="AZ149" i="4"/>
  <c r="AY149" i="4"/>
  <c r="AX149" i="4"/>
  <c r="AW149" i="4"/>
  <c r="AV149" i="4"/>
  <c r="AU149" i="4"/>
  <c r="AT149" i="4"/>
  <c r="AS149" i="4"/>
  <c r="AR149" i="4"/>
  <c r="AQ149" i="4"/>
  <c r="AP149" i="4"/>
  <c r="AO149" i="4"/>
  <c r="AN149" i="4"/>
  <c r="AM149" i="4"/>
  <c r="AL149" i="4"/>
  <c r="AK149" i="4"/>
  <c r="AJ149" i="4"/>
  <c r="AI149" i="4"/>
  <c r="AH149" i="4"/>
  <c r="AG149" i="4"/>
  <c r="AF149" i="4"/>
  <c r="AE149" i="4"/>
  <c r="AD149" i="4"/>
  <c r="AC149" i="4"/>
  <c r="AB149" i="4"/>
  <c r="AA149" i="4"/>
  <c r="Z149" i="4"/>
  <c r="Y149" i="4"/>
  <c r="X149" i="4"/>
  <c r="W149" i="4"/>
  <c r="V149" i="4"/>
  <c r="U149" i="4"/>
  <c r="T149" i="4"/>
  <c r="S149" i="4"/>
  <c r="R149" i="4"/>
  <c r="Q149" i="4"/>
  <c r="P149" i="4"/>
  <c r="O149" i="4"/>
  <c r="N149" i="4"/>
  <c r="M149" i="4"/>
  <c r="L149" i="4"/>
  <c r="K149" i="4"/>
  <c r="J149" i="4"/>
  <c r="I149" i="4"/>
  <c r="H149" i="4"/>
  <c r="G149" i="4"/>
  <c r="F149" i="4"/>
  <c r="BC147" i="4"/>
  <c r="BB147" i="4"/>
  <c r="BA147" i="4"/>
  <c r="AZ147" i="4"/>
  <c r="AY147" i="4"/>
  <c r="AX147" i="4"/>
  <c r="AW147" i="4"/>
  <c r="AV147" i="4"/>
  <c r="AU147" i="4"/>
  <c r="AT147" i="4"/>
  <c r="AS147" i="4"/>
  <c r="AR147" i="4"/>
  <c r="AQ147" i="4"/>
  <c r="AP147" i="4"/>
  <c r="AO147" i="4"/>
  <c r="AN147" i="4"/>
  <c r="AM147" i="4"/>
  <c r="AL147" i="4"/>
  <c r="AK147" i="4"/>
  <c r="AJ147" i="4"/>
  <c r="AI147" i="4"/>
  <c r="AH147" i="4"/>
  <c r="AG147" i="4"/>
  <c r="AF147" i="4"/>
  <c r="AE147" i="4"/>
  <c r="AD147" i="4"/>
  <c r="AC147" i="4"/>
  <c r="AB147" i="4"/>
  <c r="AA147" i="4"/>
  <c r="Z147" i="4"/>
  <c r="Y147" i="4"/>
  <c r="X147" i="4"/>
  <c r="W147" i="4"/>
  <c r="V147" i="4"/>
  <c r="U147" i="4"/>
  <c r="T147" i="4"/>
  <c r="S147" i="4"/>
  <c r="R147" i="4"/>
  <c r="Q147" i="4"/>
  <c r="P147" i="4"/>
  <c r="O147" i="4"/>
  <c r="N147" i="4"/>
  <c r="M147" i="4"/>
  <c r="L147" i="4"/>
  <c r="K147" i="4"/>
  <c r="J147" i="4"/>
  <c r="I147" i="4"/>
  <c r="H147" i="4"/>
  <c r="G147" i="4"/>
  <c r="F147" i="4"/>
  <c r="BC146" i="4"/>
  <c r="BB146" i="4"/>
  <c r="BA146" i="4"/>
  <c r="AZ146" i="4"/>
  <c r="AY146" i="4"/>
  <c r="AX146" i="4"/>
  <c r="AW146" i="4"/>
  <c r="AV146" i="4"/>
  <c r="AU146" i="4"/>
  <c r="AT146" i="4"/>
  <c r="AS146" i="4"/>
  <c r="AR146" i="4"/>
  <c r="AQ146" i="4"/>
  <c r="AP146" i="4"/>
  <c r="AO146" i="4"/>
  <c r="AN146" i="4"/>
  <c r="AM146" i="4"/>
  <c r="AL146" i="4"/>
  <c r="AK146" i="4"/>
  <c r="AJ146" i="4"/>
  <c r="AI146" i="4"/>
  <c r="AH146" i="4"/>
  <c r="AG146" i="4"/>
  <c r="AF146" i="4"/>
  <c r="AE146" i="4"/>
  <c r="AD146" i="4"/>
  <c r="AC146" i="4"/>
  <c r="AB146" i="4"/>
  <c r="AA146" i="4"/>
  <c r="Z146" i="4"/>
  <c r="Y146" i="4"/>
  <c r="X146" i="4"/>
  <c r="W146" i="4"/>
  <c r="V146" i="4"/>
  <c r="U146" i="4"/>
  <c r="T146" i="4"/>
  <c r="S146" i="4"/>
  <c r="R146" i="4"/>
  <c r="Q146" i="4"/>
  <c r="P146" i="4"/>
  <c r="O146" i="4"/>
  <c r="N146" i="4"/>
  <c r="M146" i="4"/>
  <c r="L146" i="4"/>
  <c r="K146" i="4"/>
  <c r="J146" i="4"/>
  <c r="I146" i="4"/>
  <c r="H146" i="4"/>
  <c r="G146" i="4"/>
  <c r="F146" i="4"/>
  <c r="BC145" i="4"/>
  <c r="BB145" i="4"/>
  <c r="BA145" i="4"/>
  <c r="AZ145" i="4"/>
  <c r="AY145" i="4"/>
  <c r="AX145" i="4"/>
  <c r="AW145" i="4"/>
  <c r="AV145" i="4"/>
  <c r="AU145" i="4"/>
  <c r="AT145" i="4"/>
  <c r="AS145" i="4"/>
  <c r="AR145" i="4"/>
  <c r="AQ145" i="4"/>
  <c r="AP145" i="4"/>
  <c r="AO145" i="4"/>
  <c r="AN145" i="4"/>
  <c r="AM145" i="4"/>
  <c r="AL145" i="4"/>
  <c r="AK145" i="4"/>
  <c r="AJ145" i="4"/>
  <c r="AI145" i="4"/>
  <c r="AH145" i="4"/>
  <c r="AG145" i="4"/>
  <c r="AF145" i="4"/>
  <c r="AE145" i="4"/>
  <c r="AD145" i="4"/>
  <c r="AC145" i="4"/>
  <c r="AB145" i="4"/>
  <c r="AA145" i="4"/>
  <c r="Z145" i="4"/>
  <c r="Y145" i="4"/>
  <c r="X145" i="4"/>
  <c r="W145" i="4"/>
  <c r="V145" i="4"/>
  <c r="U145" i="4"/>
  <c r="T145" i="4"/>
  <c r="S145" i="4"/>
  <c r="R145" i="4"/>
  <c r="Q145" i="4"/>
  <c r="P145" i="4"/>
  <c r="O145" i="4"/>
  <c r="N145" i="4"/>
  <c r="M145" i="4"/>
  <c r="L145" i="4"/>
  <c r="K145" i="4"/>
  <c r="J145" i="4"/>
  <c r="I145" i="4"/>
  <c r="H145" i="4"/>
  <c r="G145" i="4"/>
  <c r="F145" i="4"/>
  <c r="BC144" i="4"/>
  <c r="BB144" i="4"/>
  <c r="BA144" i="4"/>
  <c r="AZ144" i="4"/>
  <c r="AY144" i="4"/>
  <c r="AX144" i="4"/>
  <c r="AW144" i="4"/>
  <c r="AV144" i="4"/>
  <c r="AU144" i="4"/>
  <c r="AT144" i="4"/>
  <c r="AS144" i="4"/>
  <c r="AR144" i="4"/>
  <c r="AQ144" i="4"/>
  <c r="AP144" i="4"/>
  <c r="AO144" i="4"/>
  <c r="AN144" i="4"/>
  <c r="AM144" i="4"/>
  <c r="AL144" i="4"/>
  <c r="AK144" i="4"/>
  <c r="AJ144" i="4"/>
  <c r="AI144" i="4"/>
  <c r="AH144" i="4"/>
  <c r="AG144" i="4"/>
  <c r="AF144" i="4"/>
  <c r="AE144" i="4"/>
  <c r="AD144" i="4"/>
  <c r="AC144" i="4"/>
  <c r="AB144" i="4"/>
  <c r="AA144" i="4"/>
  <c r="Z144" i="4"/>
  <c r="Y144" i="4"/>
  <c r="X144" i="4"/>
  <c r="W144" i="4"/>
  <c r="V144" i="4"/>
  <c r="U144" i="4"/>
  <c r="T144" i="4"/>
  <c r="S144" i="4"/>
  <c r="R144" i="4"/>
  <c r="Q144" i="4"/>
  <c r="P144" i="4"/>
  <c r="O144" i="4"/>
  <c r="N144" i="4"/>
  <c r="M144" i="4"/>
  <c r="L144" i="4"/>
  <c r="K144" i="4"/>
  <c r="J144" i="4"/>
  <c r="I144" i="4"/>
  <c r="H144" i="4"/>
  <c r="G144" i="4"/>
  <c r="F144" i="4"/>
  <c r="BC142" i="4"/>
  <c r="BB142" i="4"/>
  <c r="BA142" i="4"/>
  <c r="AZ142" i="4"/>
  <c r="AY142" i="4"/>
  <c r="AX142" i="4"/>
  <c r="AW142" i="4"/>
  <c r="AV142" i="4"/>
  <c r="AU142" i="4"/>
  <c r="AT142" i="4"/>
  <c r="AS142" i="4"/>
  <c r="AR142" i="4"/>
  <c r="AQ142" i="4"/>
  <c r="AP142" i="4"/>
  <c r="AO142" i="4"/>
  <c r="AN142" i="4"/>
  <c r="AM142" i="4"/>
  <c r="AL142" i="4"/>
  <c r="AK142" i="4"/>
  <c r="AJ142" i="4"/>
  <c r="AI142" i="4"/>
  <c r="AH142" i="4"/>
  <c r="AG142" i="4"/>
  <c r="AF142" i="4"/>
  <c r="AE142" i="4"/>
  <c r="AD142" i="4"/>
  <c r="AC142" i="4"/>
  <c r="AB142" i="4"/>
  <c r="AA142" i="4"/>
  <c r="Z142" i="4"/>
  <c r="Y142" i="4"/>
  <c r="X142" i="4"/>
  <c r="W142" i="4"/>
  <c r="V142" i="4"/>
  <c r="U142" i="4"/>
  <c r="T142" i="4"/>
  <c r="S142" i="4"/>
  <c r="R142" i="4"/>
  <c r="Q142" i="4"/>
  <c r="P142" i="4"/>
  <c r="O142" i="4"/>
  <c r="N142" i="4"/>
  <c r="M142" i="4"/>
  <c r="L142" i="4"/>
  <c r="K142" i="4"/>
  <c r="J142" i="4"/>
  <c r="I142" i="4"/>
  <c r="H142" i="4"/>
  <c r="G142" i="4"/>
  <c r="F142" i="4"/>
  <c r="BC141" i="4"/>
  <c r="BB141" i="4"/>
  <c r="BA141" i="4"/>
  <c r="AZ141" i="4"/>
  <c r="AY141" i="4"/>
  <c r="AX141" i="4"/>
  <c r="AW141" i="4"/>
  <c r="AV141" i="4"/>
  <c r="AU141" i="4"/>
  <c r="AT141" i="4"/>
  <c r="AS141" i="4"/>
  <c r="AR141" i="4"/>
  <c r="AQ141" i="4"/>
  <c r="AP141" i="4"/>
  <c r="AO141" i="4"/>
  <c r="AN141" i="4"/>
  <c r="AM141" i="4"/>
  <c r="AL141" i="4"/>
  <c r="AK141" i="4"/>
  <c r="AJ141" i="4"/>
  <c r="AI141" i="4"/>
  <c r="AH141" i="4"/>
  <c r="AG141" i="4"/>
  <c r="AF141" i="4"/>
  <c r="AE141" i="4"/>
  <c r="AD141" i="4"/>
  <c r="AC141" i="4"/>
  <c r="AB141" i="4"/>
  <c r="AA141" i="4"/>
  <c r="Z141" i="4"/>
  <c r="Y141" i="4"/>
  <c r="X141" i="4"/>
  <c r="W141" i="4"/>
  <c r="V141" i="4"/>
  <c r="U141" i="4"/>
  <c r="T141" i="4"/>
  <c r="S141" i="4"/>
  <c r="R141" i="4"/>
  <c r="Q141" i="4"/>
  <c r="P141" i="4"/>
  <c r="O141" i="4"/>
  <c r="N141" i="4"/>
  <c r="M141" i="4"/>
  <c r="L141" i="4"/>
  <c r="K141" i="4"/>
  <c r="J141" i="4"/>
  <c r="I141" i="4"/>
  <c r="H141" i="4"/>
  <c r="G141" i="4"/>
  <c r="F141" i="4"/>
  <c r="BC140" i="4"/>
  <c r="BB140" i="4"/>
  <c r="BA140" i="4"/>
  <c r="AZ140" i="4"/>
  <c r="AY140" i="4"/>
  <c r="AX140" i="4"/>
  <c r="AW140" i="4"/>
  <c r="AV140" i="4"/>
  <c r="AU140" i="4"/>
  <c r="AT140" i="4"/>
  <c r="AS140" i="4"/>
  <c r="AR140" i="4"/>
  <c r="AQ140" i="4"/>
  <c r="AP140" i="4"/>
  <c r="AO140" i="4"/>
  <c r="AN140" i="4"/>
  <c r="AM140" i="4"/>
  <c r="AL140" i="4"/>
  <c r="AK140" i="4"/>
  <c r="AJ140" i="4"/>
  <c r="AI140" i="4"/>
  <c r="AH140" i="4"/>
  <c r="AG140" i="4"/>
  <c r="AF140" i="4"/>
  <c r="AE140" i="4"/>
  <c r="AD140" i="4"/>
  <c r="AC140" i="4"/>
  <c r="AB140" i="4"/>
  <c r="AA140" i="4"/>
  <c r="Z140" i="4"/>
  <c r="Y140" i="4"/>
  <c r="X140" i="4"/>
  <c r="W140" i="4"/>
  <c r="V140" i="4"/>
  <c r="U140" i="4"/>
  <c r="T140" i="4"/>
  <c r="S140" i="4"/>
  <c r="R140" i="4"/>
  <c r="Q140" i="4"/>
  <c r="P140" i="4"/>
  <c r="O140" i="4"/>
  <c r="N140" i="4"/>
  <c r="M140" i="4"/>
  <c r="L140" i="4"/>
  <c r="K140" i="4"/>
  <c r="J140" i="4"/>
  <c r="I140" i="4"/>
  <c r="H140" i="4"/>
  <c r="G140" i="4"/>
  <c r="F140" i="4"/>
  <c r="BC139" i="4"/>
  <c r="BB139" i="4"/>
  <c r="BA139" i="4"/>
  <c r="AZ139" i="4"/>
  <c r="AY139" i="4"/>
  <c r="AX139" i="4"/>
  <c r="AW139" i="4"/>
  <c r="AV139" i="4"/>
  <c r="AU139" i="4"/>
  <c r="AT139" i="4"/>
  <c r="AS139" i="4"/>
  <c r="AR139" i="4"/>
  <c r="AQ139" i="4"/>
  <c r="AP139" i="4"/>
  <c r="AO139" i="4"/>
  <c r="AN139" i="4"/>
  <c r="AM139" i="4"/>
  <c r="AL139" i="4"/>
  <c r="AK139" i="4"/>
  <c r="AJ139" i="4"/>
  <c r="AI139" i="4"/>
  <c r="AH139" i="4"/>
  <c r="AG139" i="4"/>
  <c r="AF139" i="4"/>
  <c r="AE139" i="4"/>
  <c r="AD139" i="4"/>
  <c r="AC139" i="4"/>
  <c r="AB139" i="4"/>
  <c r="AA139" i="4"/>
  <c r="Z139" i="4"/>
  <c r="Y139" i="4"/>
  <c r="X139" i="4"/>
  <c r="W139" i="4"/>
  <c r="V139" i="4"/>
  <c r="U139" i="4"/>
  <c r="T139" i="4"/>
  <c r="S139" i="4"/>
  <c r="R139" i="4"/>
  <c r="Q139" i="4"/>
  <c r="P139" i="4"/>
  <c r="O139" i="4"/>
  <c r="N139" i="4"/>
  <c r="M139" i="4"/>
  <c r="L139" i="4"/>
  <c r="K139" i="4"/>
  <c r="J139" i="4"/>
  <c r="I139" i="4"/>
  <c r="H139" i="4"/>
  <c r="G139" i="4"/>
  <c r="F139" i="4"/>
  <c r="BC138" i="4"/>
  <c r="BB138" i="4"/>
  <c r="BA138" i="4"/>
  <c r="AZ138" i="4"/>
  <c r="AY138" i="4"/>
  <c r="AX138" i="4"/>
  <c r="AW138" i="4"/>
  <c r="AV138" i="4"/>
  <c r="AU138" i="4"/>
  <c r="AT138" i="4"/>
  <c r="AS138" i="4"/>
  <c r="AR138" i="4"/>
  <c r="AQ138" i="4"/>
  <c r="AP138" i="4"/>
  <c r="AO138" i="4"/>
  <c r="AN138" i="4"/>
  <c r="AM138" i="4"/>
  <c r="AL138" i="4"/>
  <c r="AK138" i="4"/>
  <c r="AJ138" i="4"/>
  <c r="AI138" i="4"/>
  <c r="AH138" i="4"/>
  <c r="AG138" i="4"/>
  <c r="AF138" i="4"/>
  <c r="AE138" i="4"/>
  <c r="AD138" i="4"/>
  <c r="AC138" i="4"/>
  <c r="AB138" i="4"/>
  <c r="AA138" i="4"/>
  <c r="Z138" i="4"/>
  <c r="Y138" i="4"/>
  <c r="X138" i="4"/>
  <c r="W138" i="4"/>
  <c r="V138" i="4"/>
  <c r="U138" i="4"/>
  <c r="T138" i="4"/>
  <c r="S138" i="4"/>
  <c r="R138" i="4"/>
  <c r="Q138" i="4"/>
  <c r="P138" i="4"/>
  <c r="O138" i="4"/>
  <c r="N138" i="4"/>
  <c r="M138" i="4"/>
  <c r="L138" i="4"/>
  <c r="K138" i="4"/>
  <c r="J138" i="4"/>
  <c r="I138" i="4"/>
  <c r="H138" i="4"/>
  <c r="G138" i="4"/>
  <c r="F138" i="4"/>
  <c r="BC137" i="4"/>
  <c r="BB137" i="4"/>
  <c r="BA137" i="4"/>
  <c r="AZ137" i="4"/>
  <c r="AY137" i="4"/>
  <c r="AX137" i="4"/>
  <c r="AW137" i="4"/>
  <c r="AV137" i="4"/>
  <c r="AU137" i="4"/>
  <c r="AT137" i="4"/>
  <c r="AS137" i="4"/>
  <c r="AR137" i="4"/>
  <c r="AQ137" i="4"/>
  <c r="AP137" i="4"/>
  <c r="AO137" i="4"/>
  <c r="AN137" i="4"/>
  <c r="AM137" i="4"/>
  <c r="AL137" i="4"/>
  <c r="AK137" i="4"/>
  <c r="AJ137" i="4"/>
  <c r="AI137" i="4"/>
  <c r="AH137" i="4"/>
  <c r="AG137" i="4"/>
  <c r="AF137" i="4"/>
  <c r="AE137" i="4"/>
  <c r="AD137" i="4"/>
  <c r="AC137" i="4"/>
  <c r="AB137" i="4"/>
  <c r="AA137" i="4"/>
  <c r="Z137" i="4"/>
  <c r="Y137" i="4"/>
  <c r="X137" i="4"/>
  <c r="W137" i="4"/>
  <c r="V137" i="4"/>
  <c r="U137" i="4"/>
  <c r="T137" i="4"/>
  <c r="S137" i="4"/>
  <c r="R137" i="4"/>
  <c r="Q137" i="4"/>
  <c r="P137" i="4"/>
  <c r="O137" i="4"/>
  <c r="N137" i="4"/>
  <c r="M137" i="4"/>
  <c r="L137" i="4"/>
  <c r="K137" i="4"/>
  <c r="J137" i="4"/>
  <c r="I137" i="4"/>
  <c r="H137" i="4"/>
  <c r="G137" i="4"/>
  <c r="F137" i="4"/>
  <c r="BC135" i="4"/>
  <c r="BB135" i="4"/>
  <c r="BA135" i="4"/>
  <c r="AZ135" i="4"/>
  <c r="AY135" i="4"/>
  <c r="AX135" i="4"/>
  <c r="AW135" i="4"/>
  <c r="AV135" i="4"/>
  <c r="AU135" i="4"/>
  <c r="AT135" i="4"/>
  <c r="AS135" i="4"/>
  <c r="AR135" i="4"/>
  <c r="AQ135" i="4"/>
  <c r="AP135" i="4"/>
  <c r="AO135" i="4"/>
  <c r="AN135" i="4"/>
  <c r="AM135" i="4"/>
  <c r="AL135" i="4"/>
  <c r="AK135" i="4"/>
  <c r="AJ135" i="4"/>
  <c r="AI135" i="4"/>
  <c r="AH135" i="4"/>
  <c r="AG135" i="4"/>
  <c r="AF135" i="4"/>
  <c r="AE135" i="4"/>
  <c r="AD135" i="4"/>
  <c r="AC135" i="4"/>
  <c r="AB135" i="4"/>
  <c r="AA135" i="4"/>
  <c r="Z135" i="4"/>
  <c r="Y135" i="4"/>
  <c r="X135" i="4"/>
  <c r="W135" i="4"/>
  <c r="V135" i="4"/>
  <c r="U135" i="4"/>
  <c r="T135" i="4"/>
  <c r="S135" i="4"/>
  <c r="R135" i="4"/>
  <c r="Q135" i="4"/>
  <c r="P135" i="4"/>
  <c r="O135" i="4"/>
  <c r="N135" i="4"/>
  <c r="M135" i="4"/>
  <c r="L135" i="4"/>
  <c r="K135" i="4"/>
  <c r="J135" i="4"/>
  <c r="I135" i="4"/>
  <c r="H135" i="4"/>
  <c r="G135" i="4"/>
  <c r="F135" i="4"/>
  <c r="BC134" i="4"/>
  <c r="BB134" i="4"/>
  <c r="BA134" i="4"/>
  <c r="AZ134" i="4"/>
  <c r="AY134" i="4"/>
  <c r="AX134" i="4"/>
  <c r="AW134" i="4"/>
  <c r="AV134" i="4"/>
  <c r="AU134" i="4"/>
  <c r="AT134" i="4"/>
  <c r="AS134" i="4"/>
  <c r="AR134" i="4"/>
  <c r="AQ134" i="4"/>
  <c r="AP134" i="4"/>
  <c r="AO134" i="4"/>
  <c r="AN134" i="4"/>
  <c r="AM134" i="4"/>
  <c r="AL134" i="4"/>
  <c r="AK134" i="4"/>
  <c r="AJ134" i="4"/>
  <c r="AI134" i="4"/>
  <c r="AH134" i="4"/>
  <c r="AG134" i="4"/>
  <c r="AF134" i="4"/>
  <c r="AE134" i="4"/>
  <c r="AD134" i="4"/>
  <c r="AC134" i="4"/>
  <c r="AB134" i="4"/>
  <c r="AA134" i="4"/>
  <c r="Z134" i="4"/>
  <c r="Y134" i="4"/>
  <c r="X134" i="4"/>
  <c r="W134" i="4"/>
  <c r="V134" i="4"/>
  <c r="U134" i="4"/>
  <c r="T134" i="4"/>
  <c r="S134" i="4"/>
  <c r="R134" i="4"/>
  <c r="Q134" i="4"/>
  <c r="P134" i="4"/>
  <c r="O134" i="4"/>
  <c r="N134" i="4"/>
  <c r="M134" i="4"/>
  <c r="L134" i="4"/>
  <c r="K134" i="4"/>
  <c r="J134" i="4"/>
  <c r="I134" i="4"/>
  <c r="H134" i="4"/>
  <c r="G134" i="4"/>
  <c r="F134" i="4"/>
  <c r="BC133" i="4"/>
  <c r="BB133" i="4"/>
  <c r="BA133" i="4"/>
  <c r="AZ133" i="4"/>
  <c r="AY133" i="4"/>
  <c r="AX133" i="4"/>
  <c r="AW133" i="4"/>
  <c r="AV133" i="4"/>
  <c r="AU133" i="4"/>
  <c r="AT133" i="4"/>
  <c r="AS133" i="4"/>
  <c r="AR133" i="4"/>
  <c r="AQ133" i="4"/>
  <c r="AP133" i="4"/>
  <c r="AO133" i="4"/>
  <c r="AN133" i="4"/>
  <c r="AM133" i="4"/>
  <c r="AL133" i="4"/>
  <c r="AK133" i="4"/>
  <c r="AJ133" i="4"/>
  <c r="AI133" i="4"/>
  <c r="AH133" i="4"/>
  <c r="AG133" i="4"/>
  <c r="AF133" i="4"/>
  <c r="AE133" i="4"/>
  <c r="AD133" i="4"/>
  <c r="AC133" i="4"/>
  <c r="AB133" i="4"/>
  <c r="AA133" i="4"/>
  <c r="Z133" i="4"/>
  <c r="Y133" i="4"/>
  <c r="X133" i="4"/>
  <c r="W133" i="4"/>
  <c r="V133" i="4"/>
  <c r="U133" i="4"/>
  <c r="T133" i="4"/>
  <c r="S133" i="4"/>
  <c r="R133" i="4"/>
  <c r="Q133" i="4"/>
  <c r="P133" i="4"/>
  <c r="O133" i="4"/>
  <c r="N133" i="4"/>
  <c r="M133" i="4"/>
  <c r="L133" i="4"/>
  <c r="K133" i="4"/>
  <c r="J133" i="4"/>
  <c r="I133" i="4"/>
  <c r="H133" i="4"/>
  <c r="G133" i="4"/>
  <c r="F133" i="4"/>
  <c r="BC132" i="4"/>
  <c r="BB132" i="4"/>
  <c r="BA132" i="4"/>
  <c r="AZ132" i="4"/>
  <c r="AY132" i="4"/>
  <c r="AX132" i="4"/>
  <c r="AW132" i="4"/>
  <c r="AV132" i="4"/>
  <c r="AU132" i="4"/>
  <c r="AT132" i="4"/>
  <c r="AS132" i="4"/>
  <c r="AR132" i="4"/>
  <c r="AQ132" i="4"/>
  <c r="AP132" i="4"/>
  <c r="AO132" i="4"/>
  <c r="AN132" i="4"/>
  <c r="AM132" i="4"/>
  <c r="AL132" i="4"/>
  <c r="AK132" i="4"/>
  <c r="AJ132" i="4"/>
  <c r="AI132" i="4"/>
  <c r="AH132" i="4"/>
  <c r="AG132" i="4"/>
  <c r="AF132" i="4"/>
  <c r="AE132" i="4"/>
  <c r="AD132" i="4"/>
  <c r="AC132" i="4"/>
  <c r="AB132" i="4"/>
  <c r="AA132" i="4"/>
  <c r="Z132" i="4"/>
  <c r="Y132" i="4"/>
  <c r="X132" i="4"/>
  <c r="W132" i="4"/>
  <c r="V132" i="4"/>
  <c r="U132" i="4"/>
  <c r="T132" i="4"/>
  <c r="S132" i="4"/>
  <c r="R132" i="4"/>
  <c r="Q132" i="4"/>
  <c r="P132" i="4"/>
  <c r="O132" i="4"/>
  <c r="N132" i="4"/>
  <c r="M132" i="4"/>
  <c r="L132" i="4"/>
  <c r="K132" i="4"/>
  <c r="J132" i="4"/>
  <c r="I132" i="4"/>
  <c r="H132" i="4"/>
  <c r="G132" i="4"/>
  <c r="F132" i="4"/>
  <c r="BC131" i="4"/>
  <c r="BB131" i="4"/>
  <c r="BA131" i="4"/>
  <c r="AZ131" i="4"/>
  <c r="AY131" i="4"/>
  <c r="AX131" i="4"/>
  <c r="AW131" i="4"/>
  <c r="AV131" i="4"/>
  <c r="AU131" i="4"/>
  <c r="AT131" i="4"/>
  <c r="AS131" i="4"/>
  <c r="AR131" i="4"/>
  <c r="AQ131" i="4"/>
  <c r="AP131" i="4"/>
  <c r="AO131" i="4"/>
  <c r="AN131" i="4"/>
  <c r="AM131" i="4"/>
  <c r="AL131" i="4"/>
  <c r="AK131" i="4"/>
  <c r="AJ131" i="4"/>
  <c r="AI131" i="4"/>
  <c r="AH131" i="4"/>
  <c r="AG131" i="4"/>
  <c r="AF131" i="4"/>
  <c r="AE131" i="4"/>
  <c r="AD131" i="4"/>
  <c r="AC131" i="4"/>
  <c r="AB131" i="4"/>
  <c r="AA131" i="4"/>
  <c r="Z131" i="4"/>
  <c r="Y131" i="4"/>
  <c r="X131" i="4"/>
  <c r="W131" i="4"/>
  <c r="V131" i="4"/>
  <c r="U131" i="4"/>
  <c r="T131" i="4"/>
  <c r="S131" i="4"/>
  <c r="R131" i="4"/>
  <c r="Q131" i="4"/>
  <c r="P131" i="4"/>
  <c r="O131" i="4"/>
  <c r="N131" i="4"/>
  <c r="M131" i="4"/>
  <c r="L131" i="4"/>
  <c r="K131" i="4"/>
  <c r="J131" i="4"/>
  <c r="I131" i="4"/>
  <c r="H131" i="4"/>
  <c r="G131" i="4"/>
  <c r="F131" i="4"/>
  <c r="BC130" i="4"/>
  <c r="BB130" i="4"/>
  <c r="BA130" i="4"/>
  <c r="AZ130" i="4"/>
  <c r="AY130" i="4"/>
  <c r="AX130" i="4"/>
  <c r="AW130" i="4"/>
  <c r="AV130" i="4"/>
  <c r="AU130" i="4"/>
  <c r="AT130" i="4"/>
  <c r="AS130" i="4"/>
  <c r="AR130" i="4"/>
  <c r="AQ130" i="4"/>
  <c r="AP130" i="4"/>
  <c r="AO130" i="4"/>
  <c r="AN130" i="4"/>
  <c r="AM130" i="4"/>
  <c r="AL130" i="4"/>
  <c r="AK130" i="4"/>
  <c r="AJ130" i="4"/>
  <c r="AI130" i="4"/>
  <c r="AH130" i="4"/>
  <c r="AG130" i="4"/>
  <c r="AF130" i="4"/>
  <c r="AE130" i="4"/>
  <c r="AD130" i="4"/>
  <c r="AC130" i="4"/>
  <c r="AB130" i="4"/>
  <c r="AA130" i="4"/>
  <c r="Z130" i="4"/>
  <c r="Y130" i="4"/>
  <c r="X130" i="4"/>
  <c r="W130" i="4"/>
  <c r="V130" i="4"/>
  <c r="U130" i="4"/>
  <c r="T130" i="4"/>
  <c r="S130" i="4"/>
  <c r="R130" i="4"/>
  <c r="Q130" i="4"/>
  <c r="P130" i="4"/>
  <c r="O130" i="4"/>
  <c r="N130" i="4"/>
  <c r="M130" i="4"/>
  <c r="L130" i="4"/>
  <c r="K130" i="4"/>
  <c r="J130" i="4"/>
  <c r="I130" i="4"/>
  <c r="H130" i="4"/>
  <c r="G130" i="4"/>
  <c r="F130" i="4"/>
  <c r="BC129" i="4"/>
  <c r="BB129" i="4"/>
  <c r="BA129" i="4"/>
  <c r="AZ129" i="4"/>
  <c r="AY129" i="4"/>
  <c r="AX129" i="4"/>
  <c r="AW129" i="4"/>
  <c r="AV129" i="4"/>
  <c r="AU129" i="4"/>
  <c r="AT129" i="4"/>
  <c r="AS129" i="4"/>
  <c r="AR129" i="4"/>
  <c r="AQ129" i="4"/>
  <c r="AP129" i="4"/>
  <c r="AO129" i="4"/>
  <c r="AN129" i="4"/>
  <c r="AM129" i="4"/>
  <c r="AL129" i="4"/>
  <c r="AK129" i="4"/>
  <c r="AJ129" i="4"/>
  <c r="AI129" i="4"/>
  <c r="AH129" i="4"/>
  <c r="AG129" i="4"/>
  <c r="AF129" i="4"/>
  <c r="AE129" i="4"/>
  <c r="AD129" i="4"/>
  <c r="AC129" i="4"/>
  <c r="AB129" i="4"/>
  <c r="AA129" i="4"/>
  <c r="Z129" i="4"/>
  <c r="Y129" i="4"/>
  <c r="X129" i="4"/>
  <c r="W129" i="4"/>
  <c r="V129" i="4"/>
  <c r="U129" i="4"/>
  <c r="T129" i="4"/>
  <c r="S129" i="4"/>
  <c r="R129" i="4"/>
  <c r="Q129" i="4"/>
  <c r="P129" i="4"/>
  <c r="O129" i="4"/>
  <c r="N129" i="4"/>
  <c r="M129" i="4"/>
  <c r="L129" i="4"/>
  <c r="K129" i="4"/>
  <c r="J129" i="4"/>
  <c r="I129" i="4"/>
  <c r="H129" i="4"/>
  <c r="G129" i="4"/>
  <c r="F129" i="4"/>
  <c r="BC126" i="4"/>
  <c r="BB126" i="4"/>
  <c r="BA126" i="4"/>
  <c r="AZ126" i="4"/>
  <c r="AY126" i="4"/>
  <c r="AX126" i="4"/>
  <c r="AW126" i="4"/>
  <c r="AV126" i="4"/>
  <c r="AU126" i="4"/>
  <c r="AT126" i="4"/>
  <c r="AS126" i="4"/>
  <c r="AR126" i="4"/>
  <c r="AQ126" i="4"/>
  <c r="AP126" i="4"/>
  <c r="AO126" i="4"/>
  <c r="AN126" i="4"/>
  <c r="AM126" i="4"/>
  <c r="AL126" i="4"/>
  <c r="AK126" i="4"/>
  <c r="AJ126" i="4"/>
  <c r="AI126" i="4"/>
  <c r="AH126" i="4"/>
  <c r="AG126" i="4"/>
  <c r="AF126" i="4"/>
  <c r="AE126" i="4"/>
  <c r="AD126" i="4"/>
  <c r="AC126" i="4"/>
  <c r="AB126" i="4"/>
  <c r="AA126" i="4"/>
  <c r="Z126" i="4"/>
  <c r="Y126" i="4"/>
  <c r="X126" i="4"/>
  <c r="W126" i="4"/>
  <c r="V126" i="4"/>
  <c r="U126" i="4"/>
  <c r="T126" i="4"/>
  <c r="S126" i="4"/>
  <c r="R126" i="4"/>
  <c r="Q126" i="4"/>
  <c r="P126" i="4"/>
  <c r="O126" i="4"/>
  <c r="N126" i="4"/>
  <c r="M126" i="4"/>
  <c r="L126" i="4"/>
  <c r="K126" i="4"/>
  <c r="J126" i="4"/>
  <c r="I126" i="4"/>
  <c r="H126" i="4"/>
  <c r="G126" i="4"/>
  <c r="F126" i="4"/>
  <c r="D169" i="4"/>
  <c r="C169" i="4"/>
  <c r="D168" i="4"/>
  <c r="C168" i="4"/>
  <c r="D165" i="4"/>
  <c r="C165" i="4"/>
  <c r="D164" i="4"/>
  <c r="C164" i="4"/>
  <c r="D163" i="4"/>
  <c r="C163" i="4"/>
  <c r="D162" i="4"/>
  <c r="C162" i="4"/>
  <c r="D161" i="4"/>
  <c r="C161" i="4"/>
  <c r="D160" i="4"/>
  <c r="C160" i="4"/>
  <c r="D158" i="4"/>
  <c r="C158" i="4"/>
  <c r="D157" i="4"/>
  <c r="C157" i="4"/>
  <c r="D155" i="4"/>
  <c r="C155" i="4"/>
  <c r="D154" i="4"/>
  <c r="C154" i="4"/>
  <c r="D153" i="4"/>
  <c r="C153" i="4"/>
  <c r="D151" i="4"/>
  <c r="C151" i="4"/>
  <c r="D150" i="4"/>
  <c r="C150" i="4"/>
  <c r="D149" i="4"/>
  <c r="C149" i="4"/>
  <c r="D147" i="4"/>
  <c r="C147" i="4"/>
  <c r="D146" i="4"/>
  <c r="C146" i="4"/>
  <c r="D145" i="4"/>
  <c r="C145" i="4"/>
  <c r="D144" i="4"/>
  <c r="C144" i="4"/>
  <c r="D142" i="4"/>
  <c r="C142" i="4"/>
  <c r="D141" i="4"/>
  <c r="C141" i="4"/>
  <c r="D140" i="4"/>
  <c r="C140" i="4"/>
  <c r="D139" i="4"/>
  <c r="C139" i="4"/>
  <c r="D138" i="4"/>
  <c r="C138" i="4"/>
  <c r="D137" i="4"/>
  <c r="C137" i="4"/>
  <c r="D135" i="4"/>
  <c r="C135" i="4"/>
  <c r="D134" i="4"/>
  <c r="C134" i="4"/>
  <c r="D133" i="4"/>
  <c r="C133" i="4"/>
  <c r="D132" i="4"/>
  <c r="C132" i="4"/>
  <c r="D131" i="4"/>
  <c r="C131" i="4"/>
  <c r="D130" i="4"/>
  <c r="C130" i="4"/>
  <c r="D129" i="4"/>
  <c r="C129" i="4"/>
  <c r="D126" i="4"/>
  <c r="C126" i="4"/>
  <c r="E169" i="4"/>
  <c r="C212" i="8"/>
  <c r="C210" i="8"/>
  <c r="C209" i="8"/>
  <c r="C208" i="8"/>
  <c r="C207" i="8"/>
  <c r="C206" i="8"/>
  <c r="C204" i="8"/>
  <c r="C203" i="8"/>
  <c r="C202" i="8"/>
  <c r="C201" i="8"/>
  <c r="C199" i="8"/>
  <c r="C198" i="8"/>
  <c r="C197" i="8"/>
  <c r="C196" i="8"/>
  <c r="C195" i="8"/>
  <c r="C194" i="8"/>
  <c r="C193" i="8"/>
  <c r="C191" i="8"/>
  <c r="C190" i="8"/>
  <c r="C189" i="8"/>
  <c r="C188" i="8"/>
  <c r="C187" i="8"/>
  <c r="C186" i="8"/>
  <c r="C185" i="8"/>
  <c r="C184" i="8"/>
  <c r="C183" i="8"/>
  <c r="C182" i="8"/>
  <c r="C181" i="8"/>
  <c r="BN94" i="8"/>
  <c r="BM94" i="8"/>
  <c r="BK94" i="8"/>
  <c r="BI94" i="8"/>
  <c r="BH94" i="8"/>
  <c r="BG94" i="8"/>
  <c r="BF94" i="8"/>
  <c r="BN93" i="8"/>
  <c r="BM93" i="8"/>
  <c r="BK93" i="8"/>
  <c r="BI93" i="8"/>
  <c r="BH93" i="8"/>
  <c r="BG93" i="8"/>
  <c r="BF93" i="8"/>
  <c r="BN92" i="8"/>
  <c r="BM92" i="8"/>
  <c r="BK92" i="8"/>
  <c r="BI92" i="8"/>
  <c r="BH92" i="8"/>
  <c r="BG92" i="8"/>
  <c r="BF92" i="8"/>
  <c r="BN91" i="8"/>
  <c r="BM91" i="8"/>
  <c r="BK91" i="8"/>
  <c r="BI91" i="8"/>
  <c r="BH91" i="8"/>
  <c r="BG91" i="8"/>
  <c r="BF91" i="8"/>
  <c r="BN90" i="8"/>
  <c r="BM90" i="8"/>
  <c r="BK90" i="8"/>
  <c r="BI90" i="8"/>
  <c r="BH90" i="8"/>
  <c r="BG90" i="8"/>
  <c r="BF90" i="8"/>
  <c r="BN89" i="8"/>
  <c r="BM89" i="8"/>
  <c r="BK89" i="8"/>
  <c r="BI89" i="8"/>
  <c r="BH89" i="8"/>
  <c r="BG89" i="8"/>
  <c r="BF89" i="8"/>
  <c r="BN88" i="8"/>
  <c r="BM88" i="8"/>
  <c r="BK88" i="8"/>
  <c r="BI88" i="8"/>
  <c r="BH88" i="8"/>
  <c r="BG88" i="8"/>
  <c r="BF88" i="8"/>
  <c r="BN87" i="8"/>
  <c r="BM87" i="8"/>
  <c r="BK87" i="8"/>
  <c r="BI87" i="8"/>
  <c r="BH87" i="8"/>
  <c r="BG87" i="8"/>
  <c r="BF87" i="8"/>
  <c r="BN86" i="8"/>
  <c r="BM86" i="8"/>
  <c r="BK86" i="8"/>
  <c r="BI86" i="8"/>
  <c r="BH86" i="8"/>
  <c r="BG86" i="8"/>
  <c r="BF86" i="8"/>
  <c r="BN85" i="8"/>
  <c r="BM85" i="8"/>
  <c r="BK85" i="8"/>
  <c r="BI85" i="8"/>
  <c r="BH85" i="8"/>
  <c r="BG85" i="8"/>
  <c r="BF85" i="8"/>
  <c r="BN84" i="8"/>
  <c r="BM84" i="8"/>
  <c r="BK84" i="8"/>
  <c r="BI84" i="8"/>
  <c r="BH84" i="8"/>
  <c r="BG84" i="8"/>
  <c r="BF84" i="8"/>
  <c r="BN83" i="8"/>
  <c r="BM83" i="8"/>
  <c r="BK83" i="8"/>
  <c r="BI83" i="8"/>
  <c r="BH83" i="8"/>
  <c r="BG83" i="8"/>
  <c r="BF83" i="8"/>
  <c r="BN82" i="8"/>
  <c r="BM82" i="8"/>
  <c r="BK82" i="8"/>
  <c r="BI82" i="8"/>
  <c r="BH82" i="8"/>
  <c r="BG82" i="8"/>
  <c r="BF82" i="8"/>
  <c r="BN81" i="8"/>
  <c r="BM81" i="8"/>
  <c r="BK81" i="8"/>
  <c r="BI81" i="8"/>
  <c r="BH81" i="8"/>
  <c r="BG81" i="8"/>
  <c r="BF81" i="8"/>
  <c r="BN80" i="8"/>
  <c r="BM80" i="8"/>
  <c r="BK80" i="8"/>
  <c r="BI80" i="8"/>
  <c r="BH80" i="8"/>
  <c r="BG80" i="8"/>
  <c r="BF80" i="8"/>
  <c r="BN79" i="8"/>
  <c r="BM79" i="8"/>
  <c r="BK79" i="8"/>
  <c r="BI79" i="8"/>
  <c r="BH79" i="8"/>
  <c r="BG79" i="8"/>
  <c r="BF79" i="8"/>
  <c r="BN78" i="8"/>
  <c r="BM78" i="8"/>
  <c r="BK78" i="8"/>
  <c r="BI78" i="8"/>
  <c r="BH78" i="8"/>
  <c r="BG78" i="8"/>
  <c r="BF78" i="8"/>
  <c r="BN77" i="8"/>
  <c r="BM77" i="8"/>
  <c r="BK77" i="8"/>
  <c r="BI77" i="8"/>
  <c r="BH77" i="8"/>
  <c r="BG77" i="8"/>
  <c r="BF77" i="8"/>
  <c r="BN76" i="8"/>
  <c r="BM76" i="8"/>
  <c r="BK76" i="8"/>
  <c r="BI76" i="8"/>
  <c r="BH76" i="8"/>
  <c r="BG76" i="8"/>
  <c r="BF76" i="8"/>
  <c r="BN75" i="8"/>
  <c r="BM75" i="8"/>
  <c r="BK75" i="8"/>
  <c r="BI75" i="8"/>
  <c r="BH75" i="8"/>
  <c r="BG75" i="8"/>
  <c r="BF75" i="8"/>
  <c r="BN74" i="8"/>
  <c r="BM74" i="8"/>
  <c r="BK74" i="8"/>
  <c r="BI74" i="8"/>
  <c r="BH74" i="8"/>
  <c r="BG74" i="8"/>
  <c r="BF74" i="8"/>
  <c r="BN73" i="8"/>
  <c r="BM73" i="8"/>
  <c r="BK73" i="8"/>
  <c r="BI73" i="8"/>
  <c r="BH73" i="8"/>
  <c r="BG73" i="8"/>
  <c r="BF73" i="8"/>
  <c r="BN72" i="8"/>
  <c r="BM72" i="8"/>
  <c r="BK72" i="8"/>
  <c r="BI72" i="8"/>
  <c r="BH72" i="8"/>
  <c r="BG72" i="8"/>
  <c r="BF72" i="8"/>
  <c r="BN71" i="8"/>
  <c r="BM71" i="8"/>
  <c r="BK71" i="8"/>
  <c r="BI71" i="8"/>
  <c r="BH71" i="8"/>
  <c r="BG71" i="8"/>
  <c r="BF71" i="8"/>
  <c r="BN70" i="8"/>
  <c r="BM70" i="8"/>
  <c r="BK70" i="8"/>
  <c r="BI70" i="8"/>
  <c r="BH70" i="8"/>
  <c r="BG70" i="8"/>
  <c r="BF70" i="8"/>
  <c r="BN69" i="8"/>
  <c r="BM69" i="8"/>
  <c r="BK69" i="8"/>
  <c r="BI69" i="8"/>
  <c r="BH69" i="8"/>
  <c r="BG69" i="8"/>
  <c r="BF69" i="8"/>
  <c r="BN68" i="8"/>
  <c r="BM68" i="8"/>
  <c r="BK68" i="8"/>
  <c r="BI68" i="8"/>
  <c r="BH68" i="8"/>
  <c r="BG68" i="8"/>
  <c r="BF68" i="8"/>
  <c r="BN67" i="8"/>
  <c r="BM67" i="8"/>
  <c r="BK67" i="8"/>
  <c r="BI67" i="8"/>
  <c r="BH67" i="8"/>
  <c r="BG67" i="8"/>
  <c r="BF67" i="8"/>
  <c r="BN66" i="8"/>
  <c r="BM66" i="8"/>
  <c r="BK66" i="8"/>
  <c r="BI66" i="8"/>
  <c r="BH66" i="8"/>
  <c r="BG66" i="8"/>
  <c r="BF66" i="8"/>
  <c r="BN65" i="8"/>
  <c r="BM65" i="8"/>
  <c r="BK65" i="8"/>
  <c r="BI65" i="8"/>
  <c r="BH65" i="8"/>
  <c r="BG65" i="8"/>
  <c r="BF65" i="8"/>
  <c r="BN64" i="8"/>
  <c r="BM64" i="8"/>
  <c r="BK64" i="8"/>
  <c r="BI64" i="8"/>
  <c r="BH64" i="8"/>
  <c r="BG64" i="8"/>
  <c r="BF64" i="8"/>
  <c r="BN63" i="8"/>
  <c r="BM63" i="8"/>
  <c r="BK63" i="8"/>
  <c r="BI63" i="8"/>
  <c r="BH63" i="8"/>
  <c r="BG63" i="8"/>
  <c r="BF63" i="8"/>
  <c r="BN62" i="8"/>
  <c r="BM62" i="8"/>
  <c r="BK62" i="8"/>
  <c r="BI62" i="8"/>
  <c r="BH62" i="8"/>
  <c r="BG62" i="8"/>
  <c r="BF62" i="8"/>
  <c r="BN61" i="8"/>
  <c r="BM61" i="8"/>
  <c r="BK61" i="8"/>
  <c r="BI61" i="8"/>
  <c r="BH61" i="8"/>
  <c r="BG61" i="8"/>
  <c r="BF61" i="8"/>
  <c r="BN60" i="8"/>
  <c r="BM60" i="8"/>
  <c r="BK60" i="8"/>
  <c r="BI60" i="8"/>
  <c r="BH60" i="8"/>
  <c r="BG60" i="8"/>
  <c r="BF60" i="8"/>
  <c r="BM59" i="8"/>
  <c r="BL59" i="8"/>
  <c r="BK59" i="8"/>
  <c r="BJ59" i="8"/>
  <c r="BI59" i="8"/>
  <c r="BH59" i="8"/>
  <c r="BG59" i="8"/>
  <c r="BF59" i="8"/>
  <c r="BM58" i="8"/>
  <c r="BL58" i="8"/>
  <c r="BK58" i="8"/>
  <c r="BJ58" i="8"/>
  <c r="BI58" i="8"/>
  <c r="BH58" i="8"/>
  <c r="BG58" i="8"/>
  <c r="BF58" i="8"/>
  <c r="BM57" i="8"/>
  <c r="BL57" i="8"/>
  <c r="BK57" i="8"/>
  <c r="BJ57" i="8"/>
  <c r="BI57" i="8"/>
  <c r="BH57" i="8"/>
  <c r="BG57" i="8"/>
  <c r="BF57" i="8"/>
  <c r="BM56" i="8"/>
  <c r="BL56" i="8"/>
  <c r="BK56" i="8"/>
  <c r="BJ56" i="8"/>
  <c r="BI56" i="8"/>
  <c r="BH56" i="8"/>
  <c r="BG56" i="8"/>
  <c r="BF56" i="8"/>
  <c r="BM55" i="8"/>
  <c r="BL55" i="8"/>
  <c r="BK55" i="8"/>
  <c r="BJ55" i="8"/>
  <c r="BI55" i="8"/>
  <c r="BH55" i="8"/>
  <c r="BG55" i="8"/>
  <c r="BF55" i="8"/>
  <c r="BM54" i="8"/>
  <c r="BL54" i="8"/>
  <c r="BK54" i="8"/>
  <c r="BJ54" i="8"/>
  <c r="BI54" i="8"/>
  <c r="BH54" i="8"/>
  <c r="BG54" i="8"/>
  <c r="BF54" i="8"/>
  <c r="BM53" i="8"/>
  <c r="BL53" i="8"/>
  <c r="BK53" i="8"/>
  <c r="BJ53" i="8"/>
  <c r="BI53" i="8"/>
  <c r="BH53" i="8"/>
  <c r="BG53" i="8"/>
  <c r="BF53" i="8"/>
  <c r="BM52" i="8"/>
  <c r="BL52" i="8"/>
  <c r="BK52" i="8"/>
  <c r="BJ52" i="8"/>
  <c r="BI52" i="8"/>
  <c r="BH52" i="8"/>
  <c r="BG52" i="8"/>
  <c r="BF52" i="8"/>
  <c r="BM51" i="8"/>
  <c r="BL51" i="8"/>
  <c r="BK51" i="8"/>
  <c r="BJ51" i="8"/>
  <c r="BI51" i="8"/>
  <c r="BH51" i="8"/>
  <c r="BG51" i="8"/>
  <c r="BF51" i="8"/>
  <c r="BM50" i="8"/>
  <c r="BL50" i="8"/>
  <c r="BK50" i="8"/>
  <c r="BJ50" i="8"/>
  <c r="BI50" i="8"/>
  <c r="BH50" i="8"/>
  <c r="BG50" i="8"/>
  <c r="BF50" i="8"/>
  <c r="BM49" i="8"/>
  <c r="BL49" i="8"/>
  <c r="BK49" i="8"/>
  <c r="BJ49" i="8"/>
  <c r="BI49" i="8"/>
  <c r="BH49" i="8"/>
  <c r="BG49" i="8"/>
  <c r="BF49" i="8"/>
  <c r="BM48" i="8"/>
  <c r="BL48" i="8"/>
  <c r="BK48" i="8"/>
  <c r="BJ48" i="8"/>
  <c r="BI48" i="8"/>
  <c r="BH48" i="8"/>
  <c r="BG48" i="8"/>
  <c r="BF48" i="8"/>
  <c r="BM47" i="8"/>
  <c r="BL47" i="8"/>
  <c r="BK47" i="8"/>
  <c r="BJ47" i="8"/>
  <c r="BI47" i="8"/>
  <c r="BH47" i="8"/>
  <c r="BG47" i="8"/>
  <c r="BF47" i="8"/>
  <c r="BM46" i="8"/>
  <c r="BL46" i="8"/>
  <c r="BK46" i="8"/>
  <c r="BJ46" i="8"/>
  <c r="BI46" i="8"/>
  <c r="BH46" i="8"/>
  <c r="BG46" i="8"/>
  <c r="BF46" i="8"/>
  <c r="BM45" i="8"/>
  <c r="BL45" i="8"/>
  <c r="BK45" i="8"/>
  <c r="BJ45" i="8"/>
  <c r="BI45" i="8"/>
  <c r="BH45" i="8"/>
  <c r="BG45" i="8"/>
  <c r="BF45" i="8"/>
  <c r="BM44" i="8"/>
  <c r="BL44" i="8"/>
  <c r="BK44" i="8"/>
  <c r="BJ44" i="8"/>
  <c r="BI44" i="8"/>
  <c r="BH44" i="8"/>
  <c r="BG44" i="8"/>
  <c r="BF44" i="8"/>
  <c r="BM43" i="8"/>
  <c r="BL43" i="8"/>
  <c r="BK43" i="8"/>
  <c r="BJ43" i="8"/>
  <c r="BI43" i="8"/>
  <c r="BH43" i="8"/>
  <c r="BG43" i="8"/>
  <c r="BF43" i="8"/>
  <c r="BM42" i="8"/>
  <c r="BL42" i="8"/>
  <c r="BK42" i="8"/>
  <c r="BJ42" i="8"/>
  <c r="BI42" i="8"/>
  <c r="BH42" i="8"/>
  <c r="BG42" i="8"/>
  <c r="BF42" i="8"/>
  <c r="BM41" i="8"/>
  <c r="BL41" i="8"/>
  <c r="BK41" i="8"/>
  <c r="BJ41" i="8"/>
  <c r="BI41" i="8"/>
  <c r="BH41" i="8"/>
  <c r="BG41" i="8"/>
  <c r="BF41" i="8"/>
  <c r="BM40" i="8"/>
  <c r="BL40" i="8"/>
  <c r="BK40" i="8"/>
  <c r="BJ40" i="8"/>
  <c r="BI40" i="8"/>
  <c r="BH40" i="8"/>
  <c r="BG40" i="8"/>
  <c r="BF40" i="8"/>
  <c r="BM39" i="8"/>
  <c r="BL39" i="8"/>
  <c r="BK39" i="8"/>
  <c r="BJ39" i="8"/>
  <c r="BI39" i="8"/>
  <c r="BH39" i="8"/>
  <c r="BG39" i="8"/>
  <c r="BF39" i="8"/>
  <c r="BM38" i="8"/>
  <c r="BL38" i="8"/>
  <c r="BK38" i="8"/>
  <c r="BJ38" i="8"/>
  <c r="BI38" i="8"/>
  <c r="BH38" i="8"/>
  <c r="BG38" i="8"/>
  <c r="BF38" i="8"/>
  <c r="BM37" i="8"/>
  <c r="BL37" i="8"/>
  <c r="BK37" i="8"/>
  <c r="BJ37" i="8"/>
  <c r="BI37" i="8"/>
  <c r="BH37" i="8"/>
  <c r="BG37" i="8"/>
  <c r="BF37" i="8"/>
  <c r="BM36" i="8"/>
  <c r="BL36" i="8"/>
  <c r="BK36" i="8"/>
  <c r="BJ36" i="8"/>
  <c r="BI36" i="8"/>
  <c r="BH36" i="8"/>
  <c r="BG36" i="8"/>
  <c r="BF36" i="8"/>
  <c r="BM35" i="8"/>
  <c r="BL35" i="8"/>
  <c r="BK35" i="8"/>
  <c r="BJ35" i="8"/>
  <c r="BI35" i="8"/>
  <c r="BH35" i="8"/>
  <c r="BG35" i="8"/>
  <c r="BF35" i="8"/>
  <c r="BM34" i="8"/>
  <c r="BL34" i="8"/>
  <c r="BK34" i="8"/>
  <c r="BJ34" i="8"/>
  <c r="BI34" i="8"/>
  <c r="BH34" i="8"/>
  <c r="BG34" i="8"/>
  <c r="BF34" i="8"/>
  <c r="BM33" i="8"/>
  <c r="BL33" i="8"/>
  <c r="BK33" i="8"/>
  <c r="BJ33" i="8"/>
  <c r="BI33" i="8"/>
  <c r="BH33" i="8"/>
  <c r="BG33" i="8"/>
  <c r="BF33" i="8"/>
  <c r="BM32" i="8"/>
  <c r="BL32" i="8"/>
  <c r="BK32" i="8"/>
  <c r="BJ32" i="8"/>
  <c r="BI32" i="8"/>
  <c r="BH32" i="8"/>
  <c r="BG32" i="8"/>
  <c r="BF32" i="8"/>
  <c r="BM31" i="8"/>
  <c r="BL31" i="8"/>
  <c r="BK31" i="8"/>
  <c r="BJ31" i="8"/>
  <c r="BI31" i="8"/>
  <c r="BH31" i="8"/>
  <c r="BG31" i="8"/>
  <c r="BF31" i="8"/>
  <c r="BM30" i="8"/>
  <c r="BL30" i="8"/>
  <c r="BK30" i="8"/>
  <c r="BJ30" i="8"/>
  <c r="BI30" i="8"/>
  <c r="BH30" i="8"/>
  <c r="BG30" i="8"/>
  <c r="BF30" i="8"/>
  <c r="BM29" i="8"/>
  <c r="BL29" i="8"/>
  <c r="BK29" i="8"/>
  <c r="BJ29" i="8"/>
  <c r="BI29" i="8"/>
  <c r="BH29" i="8"/>
  <c r="BG29" i="8"/>
  <c r="BF29" i="8"/>
  <c r="BM28" i="8"/>
  <c r="BL28" i="8"/>
  <c r="BK28" i="8"/>
  <c r="BJ28" i="8"/>
  <c r="BI28" i="8"/>
  <c r="BH28" i="8"/>
  <c r="BG28" i="8"/>
  <c r="BF28" i="8"/>
  <c r="BM27" i="8"/>
  <c r="BL27" i="8"/>
  <c r="BK27" i="8"/>
  <c r="BJ27" i="8"/>
  <c r="BI27" i="8"/>
  <c r="BH27" i="8"/>
  <c r="BG27" i="8"/>
  <c r="BF27" i="8"/>
  <c r="BM26" i="8"/>
  <c r="BL26" i="8"/>
  <c r="BK26" i="8"/>
  <c r="BJ26" i="8"/>
  <c r="BI26" i="8"/>
  <c r="BH26" i="8"/>
  <c r="BG26" i="8"/>
  <c r="BF26" i="8"/>
  <c r="BM25" i="8"/>
  <c r="BL25" i="8"/>
  <c r="BK25" i="8"/>
  <c r="BJ25" i="8"/>
  <c r="BI25" i="8"/>
  <c r="BH25" i="8"/>
  <c r="BG25" i="8"/>
  <c r="BF25" i="8"/>
  <c r="BM24" i="8"/>
  <c r="BL24" i="8"/>
  <c r="BK24" i="8"/>
  <c r="BJ24" i="8"/>
  <c r="BI24" i="8"/>
  <c r="BH24" i="8"/>
  <c r="BG24" i="8"/>
  <c r="BF24" i="8"/>
  <c r="BM23" i="8"/>
  <c r="BL23" i="8"/>
  <c r="BK23" i="8"/>
  <c r="BJ23" i="8"/>
  <c r="BI23" i="8"/>
  <c r="BH23" i="8"/>
  <c r="BG23" i="8"/>
  <c r="BF23" i="8"/>
  <c r="BM22" i="8"/>
  <c r="BL22" i="8"/>
  <c r="BK22" i="8"/>
  <c r="BJ22" i="8"/>
  <c r="BI22" i="8"/>
  <c r="BH22" i="8"/>
  <c r="BG22" i="8"/>
  <c r="BF22" i="8"/>
  <c r="BM21" i="8"/>
  <c r="BL21" i="8"/>
  <c r="BK21" i="8"/>
  <c r="BJ21" i="8"/>
  <c r="BI21" i="8"/>
  <c r="BH21" i="8"/>
  <c r="BG21" i="8"/>
  <c r="BF21" i="8"/>
  <c r="BM20" i="8"/>
  <c r="BL20" i="8"/>
  <c r="BK20" i="8"/>
  <c r="BJ20" i="8"/>
  <c r="BI20" i="8"/>
  <c r="BH20" i="8"/>
  <c r="BG20" i="8"/>
  <c r="BF20" i="8"/>
  <c r="BM19" i="8"/>
  <c r="BL19" i="8"/>
  <c r="BK19" i="8"/>
  <c r="BJ19" i="8"/>
  <c r="BI19" i="8"/>
  <c r="BH19" i="8"/>
  <c r="BG19" i="8"/>
  <c r="BF19" i="8"/>
  <c r="BM18" i="8"/>
  <c r="BL18" i="8"/>
  <c r="BK18" i="8"/>
  <c r="BJ18" i="8"/>
  <c r="BI18" i="8"/>
  <c r="BH18" i="8"/>
  <c r="BG18" i="8"/>
  <c r="BF18" i="8"/>
  <c r="BM17" i="8"/>
  <c r="BL17" i="8"/>
  <c r="BK17" i="8"/>
  <c r="BJ17" i="8"/>
  <c r="BI17" i="8"/>
  <c r="BH17" i="8"/>
  <c r="BG17" i="8"/>
  <c r="BF17" i="8"/>
  <c r="BM16" i="8"/>
  <c r="BL16" i="8"/>
  <c r="BK16" i="8"/>
  <c r="BJ16" i="8"/>
  <c r="BI16" i="8"/>
  <c r="BH16" i="8"/>
  <c r="BG16" i="8"/>
  <c r="BF16" i="8"/>
  <c r="BM15" i="8"/>
  <c r="BL15" i="8"/>
  <c r="BK15" i="8"/>
  <c r="BJ15" i="8"/>
  <c r="BI15" i="8"/>
  <c r="BH15" i="8"/>
  <c r="BG15" i="8"/>
  <c r="BF15" i="8"/>
  <c r="BM14" i="8"/>
  <c r="BL14" i="8"/>
  <c r="BK14" i="8"/>
  <c r="BJ14" i="8"/>
  <c r="BI14" i="8"/>
  <c r="BH14" i="8"/>
  <c r="BG14" i="8"/>
  <c r="BF14" i="8"/>
  <c r="BM13" i="8"/>
  <c r="BL13" i="8"/>
  <c r="BK13" i="8"/>
  <c r="BJ13" i="8"/>
  <c r="BI13" i="8"/>
  <c r="BH13" i="8"/>
  <c r="BG13" i="8"/>
  <c r="BF13" i="8"/>
  <c r="BM12" i="8"/>
  <c r="BL12" i="8"/>
  <c r="BK12" i="8"/>
  <c r="BJ12" i="8"/>
  <c r="BI12" i="8"/>
  <c r="BH12" i="8"/>
  <c r="BG12" i="8"/>
  <c r="BF12" i="8"/>
  <c r="BM11" i="8"/>
  <c r="BL11" i="8"/>
  <c r="BK11" i="8"/>
  <c r="BJ11" i="8"/>
  <c r="BI11" i="8"/>
  <c r="BH11" i="8"/>
  <c r="BG11" i="8"/>
  <c r="BF11" i="8"/>
  <c r="BM10" i="8"/>
  <c r="BL10" i="8"/>
  <c r="BK10" i="8"/>
  <c r="BJ10" i="8"/>
  <c r="BI10" i="8"/>
  <c r="BH10" i="8"/>
  <c r="BG10" i="8"/>
  <c r="BF10" i="8"/>
  <c r="BM9" i="8"/>
  <c r="BL9" i="8"/>
  <c r="BK9" i="8"/>
  <c r="BJ9" i="8"/>
  <c r="BI9" i="8"/>
  <c r="BH9" i="8"/>
  <c r="BG9" i="8"/>
  <c r="BF9" i="8"/>
  <c r="BM8" i="8"/>
  <c r="BL8" i="8"/>
  <c r="BK8" i="8"/>
  <c r="BJ8" i="8"/>
  <c r="BI8" i="8"/>
  <c r="BH8" i="8"/>
  <c r="BG8" i="8"/>
  <c r="BF8" i="8"/>
  <c r="BM7" i="8"/>
  <c r="BL7" i="8"/>
  <c r="BK7" i="8"/>
  <c r="BJ7" i="8"/>
  <c r="BI7" i="8"/>
  <c r="BH7" i="8"/>
  <c r="BG7" i="8"/>
  <c r="BF7" i="8"/>
  <c r="BM6" i="8"/>
  <c r="BL6" i="8"/>
  <c r="BK6" i="8"/>
  <c r="BJ6" i="8"/>
  <c r="BI6" i="8"/>
  <c r="BH6" i="8"/>
  <c r="BG6" i="8"/>
  <c r="BF6" i="8"/>
  <c r="BM5" i="8"/>
  <c r="BL5" i="8"/>
  <c r="BK5" i="8"/>
  <c r="BJ5" i="8"/>
  <c r="BI5" i="8"/>
  <c r="BH5" i="8"/>
  <c r="BG5" i="8"/>
  <c r="BF5" i="8"/>
  <c r="BM4" i="8"/>
  <c r="BL4" i="8"/>
  <c r="BK4" i="8"/>
  <c r="BJ4" i="8"/>
  <c r="BI4" i="8"/>
  <c r="BH4" i="8"/>
  <c r="BG4" i="8"/>
  <c r="BF4" i="8"/>
  <c r="BO90" i="4"/>
  <c r="BN90" i="4"/>
  <c r="BL90" i="4"/>
  <c r="BJ90" i="4"/>
  <c r="BI90" i="4"/>
  <c r="BH90" i="4"/>
  <c r="BG90" i="4"/>
  <c r="BO89" i="4"/>
  <c r="BN89" i="4"/>
  <c r="BL89" i="4"/>
  <c r="BJ89" i="4"/>
  <c r="BI89" i="4"/>
  <c r="BH89" i="4"/>
  <c r="BG89" i="4"/>
  <c r="BO88" i="4"/>
  <c r="BN88" i="4"/>
  <c r="BL88" i="4"/>
  <c r="BJ88" i="4"/>
  <c r="BI88" i="4"/>
  <c r="BH88" i="4"/>
  <c r="BG88" i="4"/>
  <c r="BO87" i="4"/>
  <c r="BN87" i="4"/>
  <c r="BL87" i="4"/>
  <c r="BJ87" i="4"/>
  <c r="BI87" i="4"/>
  <c r="BH87" i="4"/>
  <c r="BG87" i="4"/>
  <c r="BO86" i="4"/>
  <c r="BN86" i="4"/>
  <c r="BL86" i="4"/>
  <c r="BJ86" i="4"/>
  <c r="BI86" i="4"/>
  <c r="BH86" i="4"/>
  <c r="BG86" i="4"/>
  <c r="BO85" i="4"/>
  <c r="BN85" i="4"/>
  <c r="BL85" i="4"/>
  <c r="BJ85" i="4"/>
  <c r="BI85" i="4"/>
  <c r="BH85" i="4"/>
  <c r="BG85" i="4"/>
  <c r="BO84" i="4"/>
  <c r="BN84" i="4"/>
  <c r="BL84" i="4"/>
  <c r="BJ84" i="4"/>
  <c r="BI84" i="4"/>
  <c r="BH84" i="4"/>
  <c r="BG84" i="4"/>
  <c r="BO83" i="4"/>
  <c r="BN83" i="4"/>
  <c r="BL83" i="4"/>
  <c r="BJ83" i="4"/>
  <c r="BI83" i="4"/>
  <c r="BH83" i="4"/>
  <c r="BG83" i="4"/>
  <c r="BO82" i="4"/>
  <c r="BN82" i="4"/>
  <c r="BL82" i="4"/>
  <c r="BJ82" i="4"/>
  <c r="BI82" i="4"/>
  <c r="BH82" i="4"/>
  <c r="BG82" i="4"/>
  <c r="BO81" i="4"/>
  <c r="BN81" i="4"/>
  <c r="BL81" i="4"/>
  <c r="BJ81" i="4"/>
  <c r="BI81" i="4"/>
  <c r="BH81" i="4"/>
  <c r="BG81" i="4"/>
  <c r="BO80" i="4"/>
  <c r="BN80" i="4"/>
  <c r="BL80" i="4"/>
  <c r="BJ80" i="4"/>
  <c r="BI80" i="4"/>
  <c r="BH80" i="4"/>
  <c r="BG80" i="4"/>
  <c r="BO79" i="4"/>
  <c r="BN79" i="4"/>
  <c r="BL79" i="4"/>
  <c r="BJ79" i="4"/>
  <c r="BI79" i="4"/>
  <c r="BH79" i="4"/>
  <c r="BG79" i="4"/>
  <c r="BO78" i="4"/>
  <c r="BN78" i="4"/>
  <c r="BL78" i="4"/>
  <c r="BJ78" i="4"/>
  <c r="BI78" i="4"/>
  <c r="BH78" i="4"/>
  <c r="BG78" i="4"/>
  <c r="BO77" i="4"/>
  <c r="BN77" i="4"/>
  <c r="BL77" i="4"/>
  <c r="BJ77" i="4"/>
  <c r="BI77" i="4"/>
  <c r="BH77" i="4"/>
  <c r="BG77" i="4"/>
  <c r="BO76" i="4"/>
  <c r="BN76" i="4"/>
  <c r="BL76" i="4"/>
  <c r="BJ76" i="4"/>
  <c r="BI76" i="4"/>
  <c r="BH76" i="4"/>
  <c r="BG76" i="4"/>
  <c r="BO75" i="4"/>
  <c r="BN75" i="4"/>
  <c r="BL75" i="4"/>
  <c r="BJ75" i="4"/>
  <c r="BI75" i="4"/>
  <c r="BH75" i="4"/>
  <c r="BG75" i="4"/>
  <c r="BO74" i="4"/>
  <c r="BN74" i="4"/>
  <c r="BL74" i="4"/>
  <c r="BJ74" i="4"/>
  <c r="BI74" i="4"/>
  <c r="BH74" i="4"/>
  <c r="BG74" i="4"/>
  <c r="BO73" i="4"/>
  <c r="BN73" i="4"/>
  <c r="BL73" i="4"/>
  <c r="BJ73" i="4"/>
  <c r="BI73" i="4"/>
  <c r="BH73" i="4"/>
  <c r="BG73" i="4"/>
  <c r="BO72" i="4"/>
  <c r="BN72" i="4"/>
  <c r="BL72" i="4"/>
  <c r="BJ72" i="4"/>
  <c r="BI72" i="4"/>
  <c r="BH72" i="4"/>
  <c r="BG72" i="4"/>
  <c r="BO71" i="4"/>
  <c r="BN71" i="4"/>
  <c r="BL71" i="4"/>
  <c r="BJ71" i="4"/>
  <c r="BI71" i="4"/>
  <c r="BH71" i="4"/>
  <c r="BG71" i="4"/>
  <c r="BO70" i="4"/>
  <c r="BN70" i="4"/>
  <c r="BL70" i="4"/>
  <c r="BJ70" i="4"/>
  <c r="BI70" i="4"/>
  <c r="BH70" i="4"/>
  <c r="BG70" i="4"/>
  <c r="BO69" i="4"/>
  <c r="BN69" i="4"/>
  <c r="BL69" i="4"/>
  <c r="BJ69" i="4"/>
  <c r="BI69" i="4"/>
  <c r="BH69" i="4"/>
  <c r="BG69" i="4"/>
  <c r="BO68" i="4"/>
  <c r="BN68" i="4"/>
  <c r="BL68" i="4"/>
  <c r="BJ68" i="4"/>
  <c r="BI68" i="4"/>
  <c r="BH68" i="4"/>
  <c r="BG68" i="4"/>
  <c r="BO67" i="4"/>
  <c r="BN67" i="4"/>
  <c r="BL67" i="4"/>
  <c r="BJ67" i="4"/>
  <c r="BI67" i="4"/>
  <c r="BH67" i="4"/>
  <c r="BG67" i="4"/>
  <c r="BO66" i="4"/>
  <c r="BN66" i="4"/>
  <c r="BL66" i="4"/>
  <c r="BJ66" i="4"/>
  <c r="BI66" i="4"/>
  <c r="BH66" i="4"/>
  <c r="BG66" i="4"/>
  <c r="BO65" i="4"/>
  <c r="BN65" i="4"/>
  <c r="BL65" i="4"/>
  <c r="BJ65" i="4"/>
  <c r="BI65" i="4"/>
  <c r="BH65" i="4"/>
  <c r="BG65" i="4"/>
  <c r="BO64" i="4"/>
  <c r="BN64" i="4"/>
  <c r="BL64" i="4"/>
  <c r="BJ64" i="4"/>
  <c r="BI64" i="4"/>
  <c r="BH64" i="4"/>
  <c r="BG64" i="4"/>
  <c r="BO63" i="4"/>
  <c r="BN63" i="4"/>
  <c r="BL63" i="4"/>
  <c r="BJ63" i="4"/>
  <c r="BI63" i="4"/>
  <c r="BH63" i="4"/>
  <c r="BG63" i="4"/>
  <c r="BO62" i="4"/>
  <c r="BN62" i="4"/>
  <c r="BL62" i="4"/>
  <c r="BJ62" i="4"/>
  <c r="BI62" i="4"/>
  <c r="BH62" i="4"/>
  <c r="BG62" i="4"/>
  <c r="BO61" i="4"/>
  <c r="BN61" i="4"/>
  <c r="BL61" i="4"/>
  <c r="BJ61" i="4"/>
  <c r="BI61" i="4"/>
  <c r="BH61" i="4"/>
  <c r="BG61" i="4"/>
  <c r="BN60" i="4"/>
  <c r="BO60" i="4"/>
  <c r="BN59" i="4"/>
  <c r="BL60" i="4"/>
  <c r="BJ60" i="4"/>
  <c r="BI60" i="4"/>
  <c r="BH60" i="4"/>
  <c r="BG60" i="4"/>
  <c r="G51" i="3"/>
  <c r="G50" i="3"/>
  <c r="G49" i="3"/>
  <c r="C51" i="3"/>
  <c r="C50" i="3"/>
  <c r="C49" i="3"/>
  <c r="C25" i="3"/>
  <c r="C26" i="3"/>
  <c r="C24" i="3"/>
  <c r="L51" i="3"/>
  <c r="K51" i="3"/>
  <c r="J51" i="3"/>
  <c r="I51" i="3"/>
  <c r="H51" i="3"/>
  <c r="F51" i="3"/>
  <c r="E51" i="3"/>
  <c r="D51" i="3"/>
  <c r="L50" i="3"/>
  <c r="K50" i="3"/>
  <c r="J50" i="3"/>
  <c r="I50" i="3"/>
  <c r="H50" i="3"/>
  <c r="F50" i="3"/>
  <c r="E50" i="3"/>
  <c r="D50" i="3"/>
  <c r="L49" i="3"/>
  <c r="K49" i="3"/>
  <c r="J49" i="3"/>
  <c r="I49" i="3"/>
  <c r="H49" i="3"/>
  <c r="F49" i="3"/>
  <c r="E49" i="3"/>
  <c r="D49" i="3"/>
  <c r="P45" i="3"/>
  <c r="O45" i="3"/>
  <c r="N45" i="3"/>
  <c r="P44" i="3"/>
  <c r="O44" i="3"/>
  <c r="N44" i="3"/>
  <c r="P43" i="3"/>
  <c r="O43" i="3"/>
  <c r="N43" i="3"/>
  <c r="P42" i="3"/>
  <c r="O42" i="3"/>
  <c r="N42" i="3"/>
  <c r="P41" i="3"/>
  <c r="O41" i="3"/>
  <c r="N41" i="3"/>
  <c r="P40" i="3"/>
  <c r="O40" i="3"/>
  <c r="N40" i="3"/>
  <c r="P39" i="3"/>
  <c r="O39" i="3"/>
  <c r="N39" i="3"/>
  <c r="P38" i="3"/>
  <c r="O38" i="3"/>
  <c r="N38" i="3"/>
  <c r="P37" i="3"/>
  <c r="O37" i="3"/>
  <c r="N37" i="3"/>
  <c r="P36" i="3"/>
  <c r="O36" i="3"/>
  <c r="N36" i="3"/>
  <c r="P35" i="3"/>
  <c r="O35" i="3"/>
  <c r="N35" i="3"/>
  <c r="P34" i="3"/>
  <c r="O34" i="3"/>
  <c r="N34" i="3"/>
  <c r="P33" i="3"/>
  <c r="O33" i="3"/>
  <c r="N33" i="3"/>
  <c r="P32" i="3"/>
  <c r="O32" i="3"/>
  <c r="N32" i="3"/>
  <c r="P31" i="3"/>
  <c r="O31" i="3"/>
  <c r="N31" i="3"/>
  <c r="P20" i="3"/>
  <c r="O20" i="3"/>
  <c r="N20" i="3"/>
  <c r="P19" i="3"/>
  <c r="O19" i="3"/>
  <c r="N19" i="3"/>
  <c r="P18" i="3"/>
  <c r="O18" i="3"/>
  <c r="N18" i="3"/>
  <c r="P17" i="3"/>
  <c r="O17" i="3"/>
  <c r="N17" i="3"/>
  <c r="P16" i="3"/>
  <c r="O16" i="3"/>
  <c r="N16" i="3"/>
  <c r="P15" i="3"/>
  <c r="O15" i="3"/>
  <c r="N15" i="3"/>
  <c r="P14" i="3"/>
  <c r="O14" i="3"/>
  <c r="N14" i="3"/>
  <c r="P13" i="3"/>
  <c r="O13" i="3"/>
  <c r="N13" i="3"/>
  <c r="P12" i="3"/>
  <c r="O12" i="3"/>
  <c r="N12" i="3"/>
  <c r="P11" i="3"/>
  <c r="O11" i="3"/>
  <c r="N11" i="3"/>
  <c r="P10" i="3"/>
  <c r="O10" i="3"/>
  <c r="N10" i="3"/>
  <c r="P9" i="3"/>
  <c r="O9" i="3"/>
  <c r="N9" i="3"/>
  <c r="P8" i="3"/>
  <c r="O8" i="3"/>
  <c r="N8" i="3"/>
  <c r="P7" i="3"/>
  <c r="O7" i="3"/>
  <c r="N7" i="3"/>
  <c r="P6" i="3"/>
  <c r="O6" i="3"/>
  <c r="N6" i="3"/>
  <c r="L26" i="3"/>
  <c r="K26" i="3"/>
  <c r="J26" i="3"/>
  <c r="I26" i="3"/>
  <c r="H26" i="3"/>
  <c r="G26" i="3"/>
  <c r="F26" i="3"/>
  <c r="E26" i="3"/>
  <c r="D26" i="3"/>
  <c r="L25" i="3"/>
  <c r="K25" i="3"/>
  <c r="J25" i="3"/>
  <c r="I25" i="3"/>
  <c r="H25" i="3"/>
  <c r="G25" i="3"/>
  <c r="F25" i="3"/>
  <c r="E25" i="3"/>
  <c r="D25" i="3"/>
  <c r="L24" i="3"/>
  <c r="K24" i="3"/>
  <c r="J24" i="3"/>
  <c r="I24" i="3"/>
  <c r="H24" i="3"/>
  <c r="G24" i="3"/>
  <c r="F24" i="3"/>
  <c r="E24" i="3"/>
  <c r="D24" i="3"/>
  <c r="E126" i="4"/>
  <c r="BM59" i="4"/>
  <c r="BL59" i="4"/>
  <c r="BK59" i="4"/>
  <c r="BJ59" i="4"/>
  <c r="BI59" i="4"/>
  <c r="BH59" i="4"/>
  <c r="BG59" i="4"/>
  <c r="BN58" i="4"/>
  <c r="BM58" i="4"/>
  <c r="BL58" i="4"/>
  <c r="BK58" i="4"/>
  <c r="BJ58" i="4"/>
  <c r="BI58" i="4"/>
  <c r="BH58" i="4"/>
  <c r="BG58" i="4"/>
  <c r="BN57" i="4"/>
  <c r="BM57" i="4"/>
  <c r="BL57" i="4"/>
  <c r="BK57" i="4"/>
  <c r="BJ57" i="4"/>
  <c r="BI57" i="4"/>
  <c r="BH57" i="4"/>
  <c r="BG57" i="4"/>
  <c r="BN56" i="4"/>
  <c r="BM56" i="4"/>
  <c r="BL56" i="4"/>
  <c r="BK56" i="4"/>
  <c r="BJ56" i="4"/>
  <c r="BI56" i="4"/>
  <c r="BH56" i="4"/>
  <c r="BG56" i="4"/>
  <c r="BN55" i="4"/>
  <c r="BM55" i="4"/>
  <c r="BL55" i="4"/>
  <c r="BK55" i="4"/>
  <c r="BJ55" i="4"/>
  <c r="BI55" i="4"/>
  <c r="BH55" i="4"/>
  <c r="BG55" i="4"/>
  <c r="BN54" i="4"/>
  <c r="BM54" i="4"/>
  <c r="BL54" i="4"/>
  <c r="BK54" i="4"/>
  <c r="BJ54" i="4"/>
  <c r="BI54" i="4"/>
  <c r="BH54" i="4"/>
  <c r="BG54" i="4"/>
  <c r="BN53" i="4"/>
  <c r="BM53" i="4"/>
  <c r="BL53" i="4"/>
  <c r="BK53" i="4"/>
  <c r="BJ53" i="4"/>
  <c r="BI53" i="4"/>
  <c r="BH53" i="4"/>
  <c r="BG53" i="4"/>
  <c r="BN52" i="4"/>
  <c r="BM52" i="4"/>
  <c r="BL52" i="4"/>
  <c r="BK52" i="4"/>
  <c r="BJ52" i="4"/>
  <c r="BI52" i="4"/>
  <c r="BH52" i="4"/>
  <c r="BG52" i="4"/>
  <c r="BN51" i="4"/>
  <c r="BM51" i="4"/>
  <c r="BL51" i="4"/>
  <c r="BK51" i="4"/>
  <c r="BJ51" i="4"/>
  <c r="BI51" i="4"/>
  <c r="BH51" i="4"/>
  <c r="BG51" i="4"/>
  <c r="BN50" i="4"/>
  <c r="BM50" i="4"/>
  <c r="BL50" i="4"/>
  <c r="BK50" i="4"/>
  <c r="BJ50" i="4"/>
  <c r="BI50" i="4"/>
  <c r="BH50" i="4"/>
  <c r="BG50" i="4"/>
  <c r="BN49" i="4"/>
  <c r="BM49" i="4"/>
  <c r="BL49" i="4"/>
  <c r="BK49" i="4"/>
  <c r="BJ49" i="4"/>
  <c r="BI49" i="4"/>
  <c r="BH49" i="4"/>
  <c r="BG49" i="4"/>
  <c r="BN48" i="4"/>
  <c r="BM48" i="4"/>
  <c r="BL48" i="4"/>
  <c r="BK48" i="4"/>
  <c r="BJ48" i="4"/>
  <c r="BI48" i="4"/>
  <c r="BH48" i="4"/>
  <c r="BG48" i="4"/>
  <c r="BN47" i="4"/>
  <c r="BM47" i="4"/>
  <c r="BL47" i="4"/>
  <c r="BK47" i="4"/>
  <c r="BJ47" i="4"/>
  <c r="BI47" i="4"/>
  <c r="BH47" i="4"/>
  <c r="BG47" i="4"/>
  <c r="BN46" i="4"/>
  <c r="BM46" i="4"/>
  <c r="BL46" i="4"/>
  <c r="BK46" i="4"/>
  <c r="BJ46" i="4"/>
  <c r="BI46" i="4"/>
  <c r="BH46" i="4"/>
  <c r="BG46" i="4"/>
  <c r="BN45" i="4"/>
  <c r="BM45" i="4"/>
  <c r="BL45" i="4"/>
  <c r="BK45" i="4"/>
  <c r="BJ45" i="4"/>
  <c r="BI45" i="4"/>
  <c r="BH45" i="4"/>
  <c r="BG45" i="4"/>
  <c r="BN44" i="4"/>
  <c r="BM44" i="4"/>
  <c r="BL44" i="4"/>
  <c r="BK44" i="4"/>
  <c r="BJ44" i="4"/>
  <c r="BI44" i="4"/>
  <c r="BH44" i="4"/>
  <c r="BG44" i="4"/>
  <c r="BN43" i="4"/>
  <c r="BM43" i="4"/>
  <c r="BL43" i="4"/>
  <c r="BK43" i="4"/>
  <c r="BJ43" i="4"/>
  <c r="BI43" i="4"/>
  <c r="BH43" i="4"/>
  <c r="BG43" i="4"/>
  <c r="BN42" i="4"/>
  <c r="BM42" i="4"/>
  <c r="BL42" i="4"/>
  <c r="BK42" i="4"/>
  <c r="BJ42" i="4"/>
  <c r="BI42" i="4"/>
  <c r="BH42" i="4"/>
  <c r="BG42" i="4"/>
  <c r="BN41" i="4"/>
  <c r="BM41" i="4"/>
  <c r="BL41" i="4"/>
  <c r="BK41" i="4"/>
  <c r="BJ41" i="4"/>
  <c r="BI41" i="4"/>
  <c r="BH41" i="4"/>
  <c r="BG41" i="4"/>
  <c r="BN40" i="4"/>
  <c r="BM40" i="4"/>
  <c r="BL40" i="4"/>
  <c r="BK40" i="4"/>
  <c r="BJ40" i="4"/>
  <c r="BI40" i="4"/>
  <c r="BH40" i="4"/>
  <c r="BG40" i="4"/>
  <c r="BN39" i="4"/>
  <c r="BM39" i="4"/>
  <c r="BL39" i="4"/>
  <c r="BK39" i="4"/>
  <c r="BJ39" i="4"/>
  <c r="BI39" i="4"/>
  <c r="BH39" i="4"/>
  <c r="BG39" i="4"/>
  <c r="BN38" i="4"/>
  <c r="BM38" i="4"/>
  <c r="BL38" i="4"/>
  <c r="BK38" i="4"/>
  <c r="BJ38" i="4"/>
  <c r="BI38" i="4"/>
  <c r="BH38" i="4"/>
  <c r="BG38" i="4"/>
  <c r="BN37" i="4"/>
  <c r="BM37" i="4"/>
  <c r="BL37" i="4"/>
  <c r="BK37" i="4"/>
  <c r="BJ37" i="4"/>
  <c r="BI37" i="4"/>
  <c r="BH37" i="4"/>
  <c r="BG37" i="4"/>
  <c r="BN36" i="4"/>
  <c r="BM36" i="4"/>
  <c r="BL36" i="4"/>
  <c r="BK36" i="4"/>
  <c r="BJ36" i="4"/>
  <c r="BI36" i="4"/>
  <c r="BH36" i="4"/>
  <c r="BG36" i="4"/>
  <c r="BN35" i="4"/>
  <c r="BM35" i="4"/>
  <c r="BL35" i="4"/>
  <c r="BK35" i="4"/>
  <c r="BJ35" i="4"/>
  <c r="BI35" i="4"/>
  <c r="BH35" i="4"/>
  <c r="BG35" i="4"/>
  <c r="BN34" i="4"/>
  <c r="BM34" i="4"/>
  <c r="BL34" i="4"/>
  <c r="BK34" i="4"/>
  <c r="BJ34" i="4"/>
  <c r="BI34" i="4"/>
  <c r="BH34" i="4"/>
  <c r="BG34" i="4"/>
  <c r="BN33" i="4"/>
  <c r="BM33" i="4"/>
  <c r="BL33" i="4"/>
  <c r="BK33" i="4"/>
  <c r="BJ33" i="4"/>
  <c r="BI33" i="4"/>
  <c r="BH33" i="4"/>
  <c r="BG33" i="4"/>
  <c r="BN32" i="4"/>
  <c r="BM32" i="4"/>
  <c r="BL32" i="4"/>
  <c r="BK32" i="4"/>
  <c r="BJ32" i="4"/>
  <c r="BI32" i="4"/>
  <c r="BH32" i="4"/>
  <c r="BG32" i="4"/>
  <c r="BN31" i="4"/>
  <c r="BM31" i="4"/>
  <c r="BL31" i="4"/>
  <c r="BK31" i="4"/>
  <c r="BJ31" i="4"/>
  <c r="BI31" i="4"/>
  <c r="BH31" i="4"/>
  <c r="BG31" i="4"/>
  <c r="BN30" i="4"/>
  <c r="BM30" i="4"/>
  <c r="BL30" i="4"/>
  <c r="BK30" i="4"/>
  <c r="BJ30" i="4"/>
  <c r="BI30" i="4"/>
  <c r="BH30" i="4"/>
  <c r="BG30" i="4"/>
  <c r="BN29" i="4"/>
  <c r="BM29" i="4"/>
  <c r="BL29" i="4"/>
  <c r="BK29" i="4"/>
  <c r="BJ29" i="4"/>
  <c r="BI29" i="4"/>
  <c r="BH29" i="4"/>
  <c r="BG29" i="4"/>
  <c r="BN28" i="4"/>
  <c r="BM28" i="4"/>
  <c r="BL28" i="4"/>
  <c r="BK28" i="4"/>
  <c r="BJ28" i="4"/>
  <c r="BI28" i="4"/>
  <c r="BH28" i="4"/>
  <c r="BG28" i="4"/>
  <c r="BN27" i="4"/>
  <c r="BM27" i="4"/>
  <c r="BL27" i="4"/>
  <c r="BK27" i="4"/>
  <c r="BJ27" i="4"/>
  <c r="BI27" i="4"/>
  <c r="BH27" i="4"/>
  <c r="BG27" i="4"/>
  <c r="BN26" i="4"/>
  <c r="BM26" i="4"/>
  <c r="BL26" i="4"/>
  <c r="BK26" i="4"/>
  <c r="BJ26" i="4"/>
  <c r="BI26" i="4"/>
  <c r="BH26" i="4"/>
  <c r="BG26" i="4"/>
  <c r="BN25" i="4"/>
  <c r="BM25" i="4"/>
  <c r="BL25" i="4"/>
  <c r="BK25" i="4"/>
  <c r="BJ25" i="4"/>
  <c r="BI25" i="4"/>
  <c r="BH25" i="4"/>
  <c r="BG25" i="4"/>
  <c r="BN24" i="4"/>
  <c r="BM24" i="4"/>
  <c r="BL24" i="4"/>
  <c r="BK24" i="4"/>
  <c r="BJ24" i="4"/>
  <c r="BI24" i="4"/>
  <c r="BH24" i="4"/>
  <c r="BG24" i="4"/>
  <c r="BN23" i="4"/>
  <c r="BM23" i="4"/>
  <c r="BL23" i="4"/>
  <c r="BK23" i="4"/>
  <c r="BJ23" i="4"/>
  <c r="BI23" i="4"/>
  <c r="BH23" i="4"/>
  <c r="BG23" i="4"/>
  <c r="BN22" i="4"/>
  <c r="BM22" i="4"/>
  <c r="BL22" i="4"/>
  <c r="BK22" i="4"/>
  <c r="BJ22" i="4"/>
  <c r="BI22" i="4"/>
  <c r="BH22" i="4"/>
  <c r="BG22" i="4"/>
  <c r="BN21" i="4"/>
  <c r="BM21" i="4"/>
  <c r="BL21" i="4"/>
  <c r="BK21" i="4"/>
  <c r="BJ21" i="4"/>
  <c r="BI21" i="4"/>
  <c r="BH21" i="4"/>
  <c r="BG21" i="4"/>
  <c r="BN20" i="4"/>
  <c r="BM20" i="4"/>
  <c r="BL20" i="4"/>
  <c r="BK20" i="4"/>
  <c r="BJ20" i="4"/>
  <c r="BI20" i="4"/>
  <c r="BH20" i="4"/>
  <c r="BG20" i="4"/>
  <c r="BN19" i="4"/>
  <c r="BM19" i="4"/>
  <c r="BL19" i="4"/>
  <c r="BK19" i="4"/>
  <c r="BJ19" i="4"/>
  <c r="BI19" i="4"/>
  <c r="BH19" i="4"/>
  <c r="BG19" i="4"/>
  <c r="BN18" i="4"/>
  <c r="BM18" i="4"/>
  <c r="BL18" i="4"/>
  <c r="BK18" i="4"/>
  <c r="BJ18" i="4"/>
  <c r="BI18" i="4"/>
  <c r="BH18" i="4"/>
  <c r="BG18" i="4"/>
  <c r="BN17" i="4"/>
  <c r="BM17" i="4"/>
  <c r="BL17" i="4"/>
  <c r="BK17" i="4"/>
  <c r="BJ17" i="4"/>
  <c r="BI17" i="4"/>
  <c r="BH17" i="4"/>
  <c r="BG17" i="4"/>
  <c r="BN16" i="4"/>
  <c r="BM16" i="4"/>
  <c r="BL16" i="4"/>
  <c r="BK16" i="4"/>
  <c r="BJ16" i="4"/>
  <c r="BI16" i="4"/>
  <c r="BH16" i="4"/>
  <c r="BG16" i="4"/>
  <c r="BN15" i="4"/>
  <c r="BM15" i="4"/>
  <c r="BL15" i="4"/>
  <c r="BK15" i="4"/>
  <c r="BJ15" i="4"/>
  <c r="BI15" i="4"/>
  <c r="BH15" i="4"/>
  <c r="BG15" i="4"/>
  <c r="BN14" i="4"/>
  <c r="BM14" i="4"/>
  <c r="BL14" i="4"/>
  <c r="BK14" i="4"/>
  <c r="BJ14" i="4"/>
  <c r="BI14" i="4"/>
  <c r="BH14" i="4"/>
  <c r="BG14" i="4"/>
  <c r="BN13" i="4"/>
  <c r="BM13" i="4"/>
  <c r="BL13" i="4"/>
  <c r="BK13" i="4"/>
  <c r="BJ13" i="4"/>
  <c r="BI13" i="4"/>
  <c r="BH13" i="4"/>
  <c r="BG13" i="4"/>
  <c r="BN12" i="4"/>
  <c r="BM12" i="4"/>
  <c r="BL12" i="4"/>
  <c r="BK12" i="4"/>
  <c r="BJ12" i="4"/>
  <c r="BI12" i="4"/>
  <c r="BH12" i="4"/>
  <c r="BG12" i="4"/>
  <c r="BN11" i="4"/>
  <c r="BM11" i="4"/>
  <c r="BL11" i="4"/>
  <c r="BK11" i="4"/>
  <c r="BJ11" i="4"/>
  <c r="BI11" i="4"/>
  <c r="BH11" i="4"/>
  <c r="BG11" i="4"/>
  <c r="BN10" i="4"/>
  <c r="BM10" i="4"/>
  <c r="BL10" i="4"/>
  <c r="BK10" i="4"/>
  <c r="BJ10" i="4"/>
  <c r="BI10" i="4"/>
  <c r="BH10" i="4"/>
  <c r="BG10" i="4"/>
  <c r="BN9" i="4"/>
  <c r="BM9" i="4"/>
  <c r="BL9" i="4"/>
  <c r="BK9" i="4"/>
  <c r="BJ9" i="4"/>
  <c r="BI9" i="4"/>
  <c r="BH9" i="4"/>
  <c r="BG9" i="4"/>
  <c r="BN8" i="4"/>
  <c r="BM8" i="4"/>
  <c r="BL8" i="4"/>
  <c r="BK8" i="4"/>
  <c r="BJ8" i="4"/>
  <c r="BI8" i="4"/>
  <c r="BH8" i="4"/>
  <c r="BG8" i="4"/>
  <c r="BN7" i="4"/>
  <c r="BM7" i="4"/>
  <c r="BL7" i="4"/>
  <c r="BK7" i="4"/>
  <c r="BJ7" i="4"/>
  <c r="BI7" i="4"/>
  <c r="BH7" i="4"/>
  <c r="BG7" i="4"/>
  <c r="BN6" i="4"/>
  <c r="BM6" i="4"/>
  <c r="BL6" i="4"/>
  <c r="BK6" i="4"/>
  <c r="BJ6" i="4"/>
  <c r="BI6" i="4"/>
  <c r="BH6" i="4"/>
  <c r="BG6" i="4"/>
  <c r="BN5" i="4"/>
  <c r="BM5" i="4"/>
  <c r="BL5" i="4"/>
  <c r="BK5" i="4"/>
  <c r="BJ5" i="4"/>
  <c r="BI5" i="4"/>
  <c r="BH5" i="4"/>
  <c r="BG5" i="4"/>
  <c r="BN4" i="4"/>
  <c r="BM4" i="4"/>
  <c r="BK4" i="4"/>
  <c r="BL4" i="4"/>
  <c r="BJ4" i="4"/>
  <c r="BI4" i="4"/>
  <c r="BH4" i="4"/>
  <c r="BG4" i="4"/>
  <c r="E168" i="4"/>
  <c r="E158" i="4"/>
  <c r="E157" i="4"/>
  <c r="E155" i="4"/>
  <c r="E154" i="4"/>
  <c r="C207" i="4"/>
  <c r="C205" i="4"/>
  <c r="C204" i="4"/>
  <c r="C203" i="4"/>
  <c r="C199" i="4"/>
  <c r="C198" i="4"/>
  <c r="C202" i="4"/>
  <c r="C197" i="4"/>
  <c r="C194" i="4"/>
  <c r="C193" i="4"/>
  <c r="C192" i="4"/>
  <c r="C191" i="4"/>
  <c r="C190" i="4"/>
  <c r="C189" i="4"/>
  <c r="C186" i="4"/>
  <c r="C185" i="4"/>
  <c r="C184" i="4"/>
  <c r="C183" i="4"/>
  <c r="C182" i="4"/>
  <c r="C181" i="4"/>
  <c r="C180" i="4"/>
  <c r="C179" i="4"/>
  <c r="C178" i="4"/>
  <c r="C177" i="4"/>
  <c r="E165" i="4"/>
  <c r="E164" i="4"/>
  <c r="E163" i="4"/>
  <c r="E162" i="4"/>
  <c r="E161" i="4"/>
  <c r="E151" i="4"/>
  <c r="E150" i="4"/>
  <c r="E147" i="4"/>
  <c r="E146" i="4"/>
  <c r="E145" i="4"/>
  <c r="E142" i="4"/>
  <c r="E141" i="4"/>
  <c r="E140" i="4"/>
  <c r="E139" i="4"/>
  <c r="E138" i="4"/>
  <c r="E135" i="4"/>
  <c r="E134" i="4"/>
  <c r="E133" i="4"/>
  <c r="E132" i="4"/>
  <c r="E131" i="4"/>
  <c r="E130" i="4"/>
  <c r="NE15" i="1"/>
  <c r="NE14" i="1"/>
  <c r="NE13" i="1"/>
  <c r="NE12" i="1"/>
  <c r="NE11" i="1"/>
  <c r="NE10" i="1"/>
  <c r="NE21" i="1"/>
  <c r="NE20" i="1"/>
  <c r="NE19" i="1"/>
  <c r="NE18" i="1"/>
  <c r="NE17" i="1"/>
  <c r="NE16" i="1"/>
  <c r="NE27" i="1"/>
  <c r="NE26" i="1"/>
  <c r="NE25" i="1"/>
  <c r="NE24" i="1"/>
  <c r="NE23" i="1"/>
  <c r="NE22" i="1"/>
  <c r="NE33" i="1"/>
  <c r="NE32" i="1"/>
  <c r="NE31" i="1"/>
  <c r="NE30" i="1"/>
  <c r="NE29" i="1"/>
  <c r="NE28" i="1"/>
  <c r="NE39" i="1"/>
  <c r="NE38" i="1"/>
  <c r="NE37" i="1"/>
  <c r="NE36" i="1"/>
  <c r="NE35" i="1"/>
  <c r="NE34" i="1"/>
  <c r="NE45" i="1"/>
  <c r="NE44" i="1"/>
  <c r="NE43" i="1"/>
  <c r="NE42" i="1"/>
  <c r="NE41" i="1"/>
  <c r="NE40" i="1"/>
  <c r="NE51" i="1"/>
  <c r="NE50" i="1"/>
  <c r="NE49" i="1"/>
  <c r="NE48" i="1"/>
  <c r="NE47" i="1"/>
  <c r="NE46" i="1"/>
  <c r="NE57" i="1"/>
  <c r="NE56" i="1"/>
  <c r="NE55" i="1"/>
  <c r="NE54" i="1"/>
  <c r="NE53" i="1"/>
  <c r="NE52" i="1"/>
  <c r="NE63" i="1"/>
  <c r="NE62" i="1"/>
  <c r="NE61" i="1"/>
  <c r="NE60" i="1"/>
  <c r="NE59" i="1"/>
  <c r="NE58" i="1"/>
  <c r="NE69" i="1"/>
  <c r="NE68" i="1"/>
  <c r="NE67" i="1"/>
  <c r="NE66" i="1"/>
  <c r="NE65" i="1"/>
  <c r="NE64" i="1"/>
  <c r="NE75" i="1"/>
  <c r="NE74" i="1"/>
  <c r="NE73" i="1"/>
  <c r="NE72" i="1"/>
  <c r="NE71" i="1"/>
  <c r="NE70" i="1"/>
  <c r="NE81" i="1"/>
  <c r="NE80" i="1"/>
  <c r="NE79" i="1"/>
  <c r="NE78" i="1"/>
  <c r="NE77" i="1"/>
  <c r="NE76" i="1"/>
  <c r="NE82" i="1"/>
  <c r="NE86" i="1"/>
  <c r="NE85" i="1"/>
  <c r="NE84" i="1"/>
  <c r="NE83" i="1"/>
  <c r="C2" i="1"/>
  <c r="D1" i="1"/>
  <c r="D2" i="1" s="1"/>
  <c r="C175" i="9" l="1"/>
  <c r="D175" i="9"/>
  <c r="E175" i="9"/>
  <c r="F175" i="9"/>
  <c r="G175" i="9"/>
  <c r="H175" i="9"/>
  <c r="I175" i="9"/>
  <c r="J175" i="9"/>
  <c r="K175" i="9"/>
  <c r="L175" i="9"/>
  <c r="M175" i="9"/>
  <c r="N175" i="9"/>
  <c r="O175" i="9"/>
  <c r="P175" i="9"/>
  <c r="Q175" i="9"/>
  <c r="R175" i="9"/>
  <c r="S175" i="9"/>
  <c r="T175" i="9"/>
  <c r="U175" i="9"/>
  <c r="V175" i="9"/>
  <c r="W175" i="9"/>
  <c r="X175" i="9"/>
  <c r="Y175" i="9"/>
  <c r="Z175" i="9"/>
  <c r="AA175" i="9"/>
  <c r="AB175" i="9"/>
  <c r="AC175" i="9"/>
  <c r="AD175" i="9"/>
  <c r="AE175" i="9"/>
  <c r="AF175" i="9"/>
  <c r="AG175" i="9"/>
  <c r="AH175" i="9"/>
  <c r="AI175" i="9"/>
  <c r="AJ175" i="9"/>
  <c r="AK175" i="9"/>
  <c r="AL175" i="9"/>
  <c r="AM175" i="9"/>
  <c r="AN175" i="9"/>
  <c r="AO175" i="9"/>
  <c r="AP175" i="9"/>
  <c r="AQ175" i="9"/>
  <c r="AR175" i="9"/>
  <c r="AS175" i="9"/>
  <c r="AT175" i="9"/>
  <c r="AU175" i="9"/>
  <c r="AV175" i="9"/>
  <c r="AW175" i="9"/>
  <c r="AX175" i="9"/>
  <c r="AY175" i="9"/>
  <c r="AZ175" i="9"/>
  <c r="BA175" i="9"/>
  <c r="BB175" i="9"/>
  <c r="BC175" i="9"/>
  <c r="C213" i="9"/>
  <c r="C176" i="8"/>
  <c r="D176" i="8"/>
  <c r="E176"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AI176" i="8"/>
  <c r="AJ176" i="8"/>
  <c r="AK176" i="8"/>
  <c r="AL176" i="8"/>
  <c r="AM176" i="8"/>
  <c r="AN176" i="8"/>
  <c r="AO176" i="8"/>
  <c r="AP176" i="8"/>
  <c r="AQ176" i="8"/>
  <c r="AR176" i="8"/>
  <c r="AS176" i="8"/>
  <c r="AT176" i="8"/>
  <c r="AU176" i="8"/>
  <c r="AV176" i="8"/>
  <c r="AW176" i="8"/>
  <c r="AX176" i="8"/>
  <c r="AY176" i="8"/>
  <c r="AZ176" i="8"/>
  <c r="BA176" i="8"/>
  <c r="BB176" i="8"/>
  <c r="BC176" i="8"/>
  <c r="F171" i="4"/>
  <c r="G171" i="4"/>
  <c r="H171" i="4"/>
  <c r="I171" i="4"/>
  <c r="J171" i="4"/>
  <c r="K171" i="4"/>
  <c r="L171" i="4"/>
  <c r="M171" i="4"/>
  <c r="N171" i="4"/>
  <c r="O171" i="4"/>
  <c r="P171" i="4"/>
  <c r="Q171" i="4"/>
  <c r="R171" i="4"/>
  <c r="S171" i="4"/>
  <c r="T171" i="4"/>
  <c r="U171" i="4"/>
  <c r="V171" i="4"/>
  <c r="W171" i="4"/>
  <c r="X171" i="4"/>
  <c r="Y171" i="4"/>
  <c r="Z171" i="4"/>
  <c r="AA171" i="4"/>
  <c r="AB171" i="4"/>
  <c r="AC171" i="4"/>
  <c r="AD171" i="4"/>
  <c r="AE171" i="4"/>
  <c r="AF171" i="4"/>
  <c r="AG171" i="4"/>
  <c r="AH171" i="4"/>
  <c r="AI171" i="4"/>
  <c r="AJ171" i="4"/>
  <c r="AK171" i="4"/>
  <c r="AL171" i="4"/>
  <c r="AM171" i="4"/>
  <c r="AN171" i="4"/>
  <c r="AO171" i="4"/>
  <c r="AP171" i="4"/>
  <c r="AQ171" i="4"/>
  <c r="AR171" i="4"/>
  <c r="AS171" i="4"/>
  <c r="AT171" i="4"/>
  <c r="AU171" i="4"/>
  <c r="AV171" i="4"/>
  <c r="AW171" i="4"/>
  <c r="AX171" i="4"/>
  <c r="AY171" i="4"/>
  <c r="AZ171" i="4"/>
  <c r="BA171" i="4"/>
  <c r="BB171" i="4"/>
  <c r="BC171" i="4"/>
  <c r="C171" i="4"/>
  <c r="D171" i="4"/>
  <c r="C214" i="8"/>
  <c r="E153" i="4"/>
  <c r="BE168" i="4"/>
  <c r="BE169" i="4"/>
  <c r="BE133" i="4"/>
  <c r="BE142" i="4"/>
  <c r="BE155" i="4"/>
  <c r="BE146" i="4"/>
  <c r="BE158" i="4"/>
  <c r="BE162" i="4"/>
  <c r="BE139" i="4"/>
  <c r="BE147" i="4"/>
  <c r="BE135" i="4"/>
  <c r="BE165" i="4"/>
  <c r="BE134" i="4"/>
  <c r="BE131" i="4"/>
  <c r="BE151" i="4"/>
  <c r="BE163" i="4"/>
  <c r="BE157" i="4"/>
  <c r="BE132" i="4"/>
  <c r="BE141" i="4"/>
  <c r="BE154" i="4"/>
  <c r="BE164" i="4"/>
  <c r="BE140" i="4"/>
  <c r="C201" i="4"/>
  <c r="C196" i="4"/>
  <c r="C188" i="4"/>
  <c r="C176" i="4"/>
  <c r="BE161" i="4"/>
  <c r="E144" i="4"/>
  <c r="BE138" i="4"/>
  <c r="E160" i="4"/>
  <c r="BE145" i="4"/>
  <c r="BE150" i="4"/>
  <c r="BE130" i="4"/>
  <c r="E129" i="4"/>
  <c r="E137" i="4"/>
  <c r="E149" i="4"/>
  <c r="E1" i="1"/>
  <c r="C209" i="4" l="1"/>
  <c r="E171" i="4"/>
  <c r="F1" i="1"/>
  <c r="E2" i="1"/>
  <c r="G1" i="1" l="1"/>
  <c r="F2" i="1"/>
  <c r="H1" i="1" l="1"/>
  <c r="G2" i="1"/>
  <c r="I1" i="1" l="1"/>
  <c r="H2" i="1"/>
  <c r="J1" i="1" l="1"/>
  <c r="I2" i="1"/>
  <c r="K1" i="1" l="1"/>
  <c r="J2" i="1"/>
  <c r="L1" i="1" l="1"/>
  <c r="K2" i="1"/>
  <c r="M1" i="1" l="1"/>
  <c r="L2" i="1"/>
  <c r="N1" i="1" l="1"/>
  <c r="M2" i="1"/>
  <c r="O1" i="1" l="1"/>
  <c r="N2" i="1"/>
  <c r="P1" i="1" l="1"/>
  <c r="O2" i="1"/>
  <c r="Q1" i="1" l="1"/>
  <c r="P2" i="1"/>
  <c r="R1" i="1" l="1"/>
  <c r="Q2" i="1"/>
  <c r="S1" i="1" l="1"/>
  <c r="R2" i="1"/>
  <c r="T1" i="1" l="1"/>
  <c r="S2" i="1"/>
  <c r="U1" i="1" l="1"/>
  <c r="T2" i="1"/>
  <c r="V1" i="1" l="1"/>
  <c r="U2" i="1"/>
  <c r="W1" i="1" l="1"/>
  <c r="V2" i="1"/>
  <c r="X1" i="1" l="1"/>
  <c r="W2" i="1"/>
  <c r="Y1" i="1" l="1"/>
  <c r="X2" i="1"/>
  <c r="Z1" i="1" l="1"/>
  <c r="Y2" i="1"/>
  <c r="AA1" i="1" l="1"/>
  <c r="Z2" i="1"/>
  <c r="AB1" i="1" l="1"/>
  <c r="AA2" i="1"/>
  <c r="AC1" i="1" l="1"/>
  <c r="AB2" i="1"/>
  <c r="AD1" i="1" l="1"/>
  <c r="AC2" i="1"/>
  <c r="AE1" i="1" l="1"/>
  <c r="AD2" i="1"/>
  <c r="AF1" i="1" l="1"/>
  <c r="AE2" i="1"/>
  <c r="AG1" i="1" l="1"/>
  <c r="AF2" i="1"/>
  <c r="AH1" i="1" l="1"/>
  <c r="AG2" i="1"/>
  <c r="AI1" i="1" l="1"/>
  <c r="AH2" i="1"/>
  <c r="AJ1" i="1" l="1"/>
  <c r="AI2" i="1"/>
  <c r="AK1" i="1" l="1"/>
  <c r="AJ2" i="1"/>
  <c r="AL1" i="1" l="1"/>
  <c r="AK2" i="1"/>
  <c r="AM1" i="1" l="1"/>
  <c r="AL2" i="1"/>
  <c r="AN1" i="1" l="1"/>
  <c r="AM2" i="1"/>
  <c r="AO1" i="1" l="1"/>
  <c r="AN2" i="1"/>
  <c r="AP1" i="1" l="1"/>
  <c r="AO2" i="1"/>
  <c r="AQ1" i="1" l="1"/>
  <c r="AP2" i="1"/>
  <c r="AR1" i="1" l="1"/>
  <c r="AQ2" i="1"/>
  <c r="AS1" i="1" l="1"/>
  <c r="AR2" i="1"/>
  <c r="AT1" i="1" l="1"/>
  <c r="AS2" i="1"/>
  <c r="AU1" i="1" l="1"/>
  <c r="AT2" i="1"/>
  <c r="AV1" i="1" l="1"/>
  <c r="AU2" i="1"/>
  <c r="AW1" i="1" l="1"/>
  <c r="AV2" i="1"/>
  <c r="AX1" i="1" l="1"/>
  <c r="AW2" i="1"/>
  <c r="AY1" i="1" l="1"/>
  <c r="AX2" i="1"/>
  <c r="AZ1" i="1" l="1"/>
  <c r="AY2" i="1"/>
  <c r="BA1" i="1" l="1"/>
  <c r="AZ2" i="1"/>
  <c r="BB1" i="1" l="1"/>
  <c r="BA2" i="1"/>
  <c r="BC1" i="1" l="1"/>
  <c r="BB2" i="1"/>
  <c r="BD1" i="1" l="1"/>
  <c r="BC2" i="1"/>
  <c r="BE1" i="1" l="1"/>
  <c r="BD2" i="1"/>
  <c r="BF1" i="1" l="1"/>
  <c r="BE2" i="1"/>
  <c r="BG1" i="1" l="1"/>
  <c r="BF2" i="1"/>
  <c r="BH1" i="1" l="1"/>
  <c r="BG2" i="1"/>
  <c r="BI1" i="1" l="1"/>
  <c r="BH2" i="1"/>
  <c r="BJ1" i="1" l="1"/>
  <c r="BI2" i="1"/>
  <c r="BK1" i="1" l="1"/>
  <c r="BJ2" i="1"/>
  <c r="BL1" i="1" l="1"/>
  <c r="BK2" i="1"/>
  <c r="BM1" i="1" l="1"/>
  <c r="BL2" i="1"/>
  <c r="BN1" i="1" l="1"/>
  <c r="BM2" i="1"/>
  <c r="BO1" i="1" l="1"/>
  <c r="BN2" i="1"/>
  <c r="BP1" i="1" l="1"/>
  <c r="BO2" i="1"/>
  <c r="BQ1" i="1" l="1"/>
  <c r="BP2" i="1"/>
  <c r="BR1" i="1" l="1"/>
  <c r="BQ2" i="1"/>
  <c r="BS1" i="1" l="1"/>
  <c r="BR2" i="1"/>
  <c r="BT1" i="1" l="1"/>
  <c r="BS2" i="1"/>
  <c r="BU1" i="1" l="1"/>
  <c r="BT2" i="1"/>
  <c r="BV1" i="1" l="1"/>
  <c r="BU2" i="1"/>
  <c r="BW1" i="1" l="1"/>
  <c r="BV2" i="1"/>
  <c r="BX1" i="1" l="1"/>
  <c r="BW2" i="1"/>
  <c r="BY1" i="1" l="1"/>
  <c r="BX2" i="1"/>
  <c r="BZ1" i="1" l="1"/>
  <c r="BY2" i="1"/>
  <c r="CA1" i="1" l="1"/>
  <c r="BZ2" i="1"/>
  <c r="CB1" i="1" l="1"/>
  <c r="CA2" i="1"/>
  <c r="CC1" i="1" l="1"/>
  <c r="CB2" i="1"/>
  <c r="CD1" i="1" l="1"/>
  <c r="CC2" i="1"/>
  <c r="CE1" i="1" l="1"/>
  <c r="CD2" i="1"/>
  <c r="CF1" i="1" l="1"/>
  <c r="CE2" i="1"/>
  <c r="CG1" i="1" l="1"/>
  <c r="CF2" i="1"/>
  <c r="CH1" i="1" l="1"/>
  <c r="CG2" i="1"/>
  <c r="CI1" i="1" l="1"/>
  <c r="CH2" i="1"/>
  <c r="CJ1" i="1" l="1"/>
  <c r="CI2" i="1"/>
  <c r="CK1" i="1" l="1"/>
  <c r="CJ2" i="1"/>
  <c r="CL1" i="1" l="1"/>
  <c r="CK2" i="1"/>
  <c r="CM1" i="1" l="1"/>
  <c r="CL2" i="1"/>
  <c r="CN1" i="1" l="1"/>
  <c r="CM2" i="1"/>
  <c r="CO1" i="1" l="1"/>
  <c r="CN2" i="1"/>
  <c r="CP1" i="1" l="1"/>
  <c r="CO2" i="1"/>
  <c r="CQ1" i="1" l="1"/>
  <c r="CP2" i="1"/>
  <c r="CR1" i="1" l="1"/>
  <c r="CQ2" i="1"/>
  <c r="CS1" i="1" l="1"/>
  <c r="CR2" i="1"/>
  <c r="CT1" i="1" l="1"/>
  <c r="CS2" i="1"/>
  <c r="CU1" i="1" l="1"/>
  <c r="CT2" i="1"/>
  <c r="CV1" i="1" l="1"/>
  <c r="CU2" i="1"/>
  <c r="CW1" i="1" l="1"/>
  <c r="CV2" i="1"/>
  <c r="CX1" i="1" l="1"/>
  <c r="CW2" i="1"/>
  <c r="CY1" i="1" l="1"/>
  <c r="CX2" i="1"/>
  <c r="CZ1" i="1" l="1"/>
  <c r="CY2" i="1"/>
  <c r="DA1" i="1" l="1"/>
  <c r="CZ2" i="1"/>
  <c r="DB1" i="1" l="1"/>
  <c r="DA2" i="1"/>
  <c r="DC1" i="1" l="1"/>
  <c r="DB2" i="1"/>
  <c r="DD1" i="1" l="1"/>
  <c r="DC2" i="1"/>
  <c r="DE1" i="1" l="1"/>
  <c r="DD2" i="1"/>
  <c r="DF1" i="1" l="1"/>
  <c r="DE2" i="1"/>
  <c r="DG1" i="1" l="1"/>
  <c r="DF2" i="1"/>
  <c r="DH1" i="1" l="1"/>
  <c r="DG2" i="1"/>
  <c r="DI1" i="1" l="1"/>
  <c r="DH2" i="1"/>
  <c r="DJ1" i="1" l="1"/>
  <c r="DI2" i="1"/>
  <c r="DK1" i="1" l="1"/>
  <c r="DJ2" i="1"/>
  <c r="DL1" i="1" l="1"/>
  <c r="DK2" i="1"/>
  <c r="DM1" i="1" l="1"/>
  <c r="DL2" i="1"/>
  <c r="DN1" i="1" l="1"/>
  <c r="DM2" i="1"/>
  <c r="DO1" i="1" l="1"/>
  <c r="DN2" i="1"/>
  <c r="DP1" i="1" l="1"/>
  <c r="DO2" i="1"/>
  <c r="DQ1" i="1" l="1"/>
  <c r="DP2" i="1"/>
  <c r="DR1" i="1" l="1"/>
  <c r="DQ2" i="1"/>
  <c r="DS1" i="1" l="1"/>
  <c r="DR2" i="1"/>
  <c r="DT1" i="1" l="1"/>
  <c r="DS2" i="1"/>
  <c r="DU1" i="1" l="1"/>
  <c r="DT2" i="1"/>
  <c r="DV1" i="1" l="1"/>
  <c r="DU2" i="1"/>
  <c r="DW1" i="1" l="1"/>
  <c r="DV2" i="1"/>
  <c r="DX1" i="1" l="1"/>
  <c r="DW2" i="1"/>
  <c r="DY1" i="1" l="1"/>
  <c r="DX2" i="1"/>
  <c r="DZ1" i="1" l="1"/>
  <c r="DY2" i="1"/>
  <c r="EA1" i="1" l="1"/>
  <c r="DZ2" i="1"/>
  <c r="EB1" i="1" l="1"/>
  <c r="EA2" i="1"/>
  <c r="EC1" i="1" l="1"/>
  <c r="EB2" i="1"/>
  <c r="ED1" i="1" l="1"/>
  <c r="EC2" i="1"/>
  <c r="EE1" i="1" l="1"/>
  <c r="ED2" i="1"/>
  <c r="EF1" i="1" l="1"/>
  <c r="EE2" i="1"/>
  <c r="EG1" i="1" l="1"/>
  <c r="EF2" i="1"/>
  <c r="EH1" i="1" l="1"/>
  <c r="EG2" i="1"/>
  <c r="EI1" i="1" l="1"/>
  <c r="EH2" i="1"/>
  <c r="EJ1" i="1" l="1"/>
  <c r="EI2" i="1"/>
  <c r="EK1" i="1" l="1"/>
  <c r="EJ2" i="1"/>
  <c r="EL1" i="1" l="1"/>
  <c r="EK2" i="1"/>
  <c r="EM1" i="1" l="1"/>
  <c r="EL2" i="1"/>
  <c r="EN1" i="1" l="1"/>
  <c r="EM2" i="1"/>
  <c r="EO1" i="1" l="1"/>
  <c r="EN2" i="1"/>
  <c r="EP1" i="1" l="1"/>
  <c r="EO2" i="1"/>
  <c r="EQ1" i="1" l="1"/>
  <c r="EP2" i="1"/>
  <c r="ER1" i="1" l="1"/>
  <c r="EQ2" i="1"/>
  <c r="ES1" i="1" l="1"/>
  <c r="ER2" i="1"/>
  <c r="ET1" i="1" l="1"/>
  <c r="ES2" i="1"/>
  <c r="EU1" i="1" l="1"/>
  <c r="ET2" i="1"/>
  <c r="EV1" i="1" l="1"/>
  <c r="EU2" i="1"/>
  <c r="EW1" i="1" l="1"/>
  <c r="EV2" i="1"/>
  <c r="EX1" i="1" l="1"/>
  <c r="EW2" i="1"/>
  <c r="EY1" i="1" l="1"/>
  <c r="EX2" i="1"/>
  <c r="EZ1" i="1" l="1"/>
  <c r="EY2" i="1"/>
  <c r="FA1" i="1" l="1"/>
  <c r="EZ2" i="1"/>
  <c r="FB1" i="1" l="1"/>
  <c r="FA2" i="1"/>
  <c r="FC1" i="1" l="1"/>
  <c r="FB2" i="1"/>
  <c r="FD1" i="1" l="1"/>
  <c r="FC2" i="1"/>
  <c r="FE1" i="1" l="1"/>
  <c r="FD2" i="1"/>
  <c r="FF1" i="1" l="1"/>
  <c r="FE2" i="1"/>
  <c r="FG1" i="1" l="1"/>
  <c r="FF2" i="1"/>
  <c r="FH1" i="1" l="1"/>
  <c r="FG2" i="1"/>
  <c r="FI1" i="1" l="1"/>
  <c r="FH2" i="1"/>
  <c r="FJ1" i="1" l="1"/>
  <c r="FI2" i="1"/>
  <c r="FK1" i="1" l="1"/>
  <c r="FJ2" i="1"/>
  <c r="FL1" i="1" l="1"/>
  <c r="FK2" i="1"/>
  <c r="FM1" i="1" l="1"/>
  <c r="FL2" i="1"/>
  <c r="FN1" i="1" l="1"/>
  <c r="FM2" i="1"/>
  <c r="FO1" i="1" l="1"/>
  <c r="FN2" i="1"/>
  <c r="FP1" i="1" l="1"/>
  <c r="FO2" i="1"/>
  <c r="FQ1" i="1" l="1"/>
  <c r="FP2" i="1"/>
  <c r="FR1" i="1" l="1"/>
  <c r="FQ2" i="1"/>
  <c r="FS1" i="1" l="1"/>
  <c r="FR2" i="1"/>
  <c r="FT1" i="1" l="1"/>
  <c r="FS2" i="1"/>
  <c r="FU1" i="1" l="1"/>
  <c r="FT2" i="1"/>
  <c r="FV1" i="1" l="1"/>
  <c r="FU2" i="1"/>
  <c r="FW1" i="1" l="1"/>
  <c r="FV2" i="1"/>
  <c r="FX1" i="1" l="1"/>
  <c r="FW2" i="1"/>
  <c r="FY1" i="1" l="1"/>
  <c r="FX2" i="1"/>
  <c r="FZ1" i="1" l="1"/>
  <c r="FY2" i="1"/>
  <c r="GA1" i="1" l="1"/>
  <c r="FZ2" i="1"/>
  <c r="GB1" i="1" l="1"/>
  <c r="GA2" i="1"/>
  <c r="GC1" i="1" l="1"/>
  <c r="GB2" i="1"/>
  <c r="GD1" i="1" l="1"/>
  <c r="GC2" i="1"/>
  <c r="GE1" i="1" l="1"/>
  <c r="GD2" i="1"/>
  <c r="GF1" i="1" l="1"/>
  <c r="GE2" i="1"/>
  <c r="GG1" i="1" l="1"/>
  <c r="GF2" i="1"/>
  <c r="GH1" i="1" l="1"/>
  <c r="GG2" i="1"/>
  <c r="GI1" i="1" l="1"/>
  <c r="GH2" i="1"/>
  <c r="GJ1" i="1" l="1"/>
  <c r="GI2" i="1"/>
  <c r="GK1" i="1" l="1"/>
  <c r="GJ2" i="1"/>
  <c r="GL1" i="1" l="1"/>
  <c r="GK2" i="1"/>
  <c r="GM1" i="1" l="1"/>
  <c r="GL2" i="1"/>
  <c r="GN1" i="1" l="1"/>
  <c r="GM2" i="1"/>
  <c r="GO1" i="1" l="1"/>
  <c r="GN2" i="1"/>
  <c r="GP1" i="1" l="1"/>
  <c r="GO2" i="1"/>
  <c r="GQ1" i="1" l="1"/>
  <c r="GP2" i="1"/>
  <c r="GR1" i="1" l="1"/>
  <c r="GQ2" i="1"/>
  <c r="GS1" i="1" l="1"/>
  <c r="GR2" i="1"/>
  <c r="GT1" i="1" l="1"/>
  <c r="GS2" i="1"/>
  <c r="GU1" i="1" l="1"/>
  <c r="GT2" i="1"/>
  <c r="GV1" i="1" l="1"/>
  <c r="GU2" i="1"/>
  <c r="GW1" i="1" l="1"/>
  <c r="GV2" i="1"/>
  <c r="GX1" i="1" l="1"/>
  <c r="GW2" i="1"/>
  <c r="GY1" i="1" l="1"/>
  <c r="GX2" i="1"/>
  <c r="GZ1" i="1" l="1"/>
  <c r="GY2" i="1"/>
  <c r="HA1" i="1" l="1"/>
  <c r="GZ2" i="1"/>
  <c r="HB1" i="1" l="1"/>
  <c r="HA2" i="1"/>
  <c r="HC1" i="1" l="1"/>
  <c r="HB2" i="1"/>
  <c r="HD1" i="1" l="1"/>
  <c r="HC2" i="1"/>
  <c r="HE1" i="1" l="1"/>
  <c r="HD2" i="1"/>
  <c r="HF1" i="1" l="1"/>
  <c r="HE2" i="1"/>
  <c r="HG1" i="1" l="1"/>
  <c r="HF2" i="1"/>
  <c r="HH1" i="1" l="1"/>
  <c r="HG2" i="1"/>
  <c r="HI1" i="1" l="1"/>
  <c r="HH2" i="1"/>
  <c r="HJ1" i="1" l="1"/>
  <c r="HI2" i="1"/>
  <c r="HK1" i="1" l="1"/>
  <c r="HJ2" i="1"/>
  <c r="HL1" i="1" l="1"/>
  <c r="HK2" i="1"/>
  <c r="HM1" i="1" l="1"/>
  <c r="HL2" i="1"/>
  <c r="HN1" i="1" l="1"/>
  <c r="HM2" i="1"/>
  <c r="HO1" i="1" l="1"/>
  <c r="HN2" i="1"/>
  <c r="HP1" i="1" l="1"/>
  <c r="HO2" i="1"/>
  <c r="HQ1" i="1" l="1"/>
  <c r="HP2" i="1"/>
  <c r="HR1" i="1" l="1"/>
  <c r="HQ2" i="1"/>
  <c r="HS1" i="1" l="1"/>
  <c r="HR2" i="1"/>
  <c r="HT1" i="1" l="1"/>
  <c r="HS2" i="1"/>
  <c r="HU1" i="1" l="1"/>
  <c r="HT2" i="1"/>
  <c r="HV1" i="1" l="1"/>
  <c r="HU2" i="1"/>
  <c r="HW1" i="1" l="1"/>
  <c r="HV2" i="1"/>
  <c r="HX1" i="1" l="1"/>
  <c r="HW2" i="1"/>
  <c r="HY1" i="1" l="1"/>
  <c r="HX2" i="1"/>
  <c r="HZ1" i="1" l="1"/>
  <c r="HY2" i="1"/>
  <c r="IA1" i="1" l="1"/>
  <c r="HZ2" i="1"/>
  <c r="IB1" i="1" l="1"/>
  <c r="IA2" i="1"/>
  <c r="IC1" i="1" l="1"/>
  <c r="IB2" i="1"/>
  <c r="ID1" i="1" l="1"/>
  <c r="IC2" i="1"/>
  <c r="IE1" i="1" l="1"/>
  <c r="ID2" i="1"/>
  <c r="IF1" i="1" l="1"/>
  <c r="IE2" i="1"/>
  <c r="IG1" i="1" l="1"/>
  <c r="IF2" i="1"/>
  <c r="IH1" i="1" l="1"/>
  <c r="IG2" i="1"/>
  <c r="II1" i="1" l="1"/>
  <c r="IH2" i="1"/>
  <c r="IJ1" i="1" l="1"/>
  <c r="II2" i="1"/>
  <c r="IK1" i="1" l="1"/>
  <c r="IJ2" i="1"/>
  <c r="IL1" i="1" l="1"/>
  <c r="IK2" i="1"/>
  <c r="IM1" i="1" l="1"/>
  <c r="IL2" i="1"/>
  <c r="IN1" i="1" l="1"/>
  <c r="IM2" i="1"/>
  <c r="IO1" i="1" l="1"/>
  <c r="IN2" i="1"/>
  <c r="IP1" i="1" l="1"/>
  <c r="IO2" i="1"/>
  <c r="IQ1" i="1" l="1"/>
  <c r="IP2" i="1"/>
  <c r="IR1" i="1" l="1"/>
  <c r="IQ2" i="1"/>
  <c r="IS1" i="1" l="1"/>
  <c r="IR2" i="1"/>
  <c r="IT1" i="1" l="1"/>
  <c r="IS2" i="1"/>
  <c r="IU1" i="1" l="1"/>
  <c r="IT2" i="1"/>
  <c r="IV1" i="1" l="1"/>
  <c r="IU2" i="1"/>
  <c r="IW1" i="1" l="1"/>
  <c r="IV2" i="1"/>
  <c r="IX1" i="1" l="1"/>
  <c r="IW2" i="1"/>
  <c r="IY1" i="1" l="1"/>
  <c r="IX2" i="1"/>
  <c r="IZ1" i="1" l="1"/>
  <c r="IY2" i="1"/>
  <c r="JA1" i="1" l="1"/>
  <c r="IZ2" i="1"/>
  <c r="JB1" i="1" l="1"/>
  <c r="JA2" i="1"/>
  <c r="JC1" i="1" l="1"/>
  <c r="JB2" i="1"/>
  <c r="JD1" i="1" l="1"/>
  <c r="JC2" i="1"/>
  <c r="JE1" i="1" l="1"/>
  <c r="JD2" i="1"/>
  <c r="JF1" i="1" l="1"/>
  <c r="JE2" i="1"/>
  <c r="JG1" i="1" l="1"/>
  <c r="JF2" i="1"/>
  <c r="JH1" i="1" l="1"/>
  <c r="JG2" i="1"/>
  <c r="JI1" i="1" l="1"/>
  <c r="JH2" i="1"/>
  <c r="JJ1" i="1" l="1"/>
  <c r="JI2" i="1"/>
  <c r="JK1" i="1" l="1"/>
  <c r="JJ2" i="1"/>
  <c r="JL1" i="1" l="1"/>
  <c r="JK2" i="1"/>
  <c r="JM1" i="1" l="1"/>
  <c r="JL2" i="1"/>
  <c r="JN1" i="1" l="1"/>
  <c r="JM2" i="1"/>
  <c r="JO1" i="1" l="1"/>
  <c r="JN2" i="1"/>
  <c r="JP1" i="1" l="1"/>
  <c r="JO2" i="1"/>
  <c r="JQ1" i="1" l="1"/>
  <c r="JP2" i="1"/>
  <c r="JR1" i="1" l="1"/>
  <c r="JQ2" i="1"/>
  <c r="JS1" i="1" l="1"/>
  <c r="JR2" i="1"/>
  <c r="JT1" i="1" l="1"/>
  <c r="JS2" i="1"/>
  <c r="JU1" i="1" l="1"/>
  <c r="JT2" i="1"/>
  <c r="JV1" i="1" l="1"/>
  <c r="JU2" i="1"/>
  <c r="JW1" i="1" l="1"/>
  <c r="JV2" i="1"/>
  <c r="JX1" i="1" l="1"/>
  <c r="JW2" i="1"/>
  <c r="JY1" i="1" l="1"/>
  <c r="JX2" i="1"/>
  <c r="JZ1" i="1" l="1"/>
  <c r="JY2" i="1"/>
  <c r="KA1" i="1" l="1"/>
  <c r="JZ2" i="1"/>
  <c r="KB1" i="1" l="1"/>
  <c r="KA2" i="1"/>
  <c r="KC1" i="1" l="1"/>
  <c r="KB2" i="1"/>
  <c r="KD1" i="1" l="1"/>
  <c r="KC2" i="1"/>
  <c r="KE1" i="1" l="1"/>
  <c r="KD2" i="1"/>
  <c r="KF1" i="1" l="1"/>
  <c r="KE2" i="1"/>
  <c r="KG1" i="1" l="1"/>
  <c r="KF2" i="1"/>
  <c r="KH1" i="1" l="1"/>
  <c r="KG2" i="1"/>
  <c r="KI1" i="1" l="1"/>
  <c r="KH2" i="1"/>
  <c r="KJ1" i="1" l="1"/>
  <c r="KI2" i="1"/>
  <c r="KK1" i="1" l="1"/>
  <c r="KJ2" i="1"/>
  <c r="KL1" i="1" l="1"/>
  <c r="KK2" i="1"/>
  <c r="KM1" i="1" l="1"/>
  <c r="KL2" i="1"/>
  <c r="KN1" i="1" l="1"/>
  <c r="KM2" i="1"/>
  <c r="KO1" i="1" l="1"/>
  <c r="KN2" i="1"/>
  <c r="KP1" i="1" l="1"/>
  <c r="KO2" i="1"/>
  <c r="KQ1" i="1" l="1"/>
  <c r="KP2" i="1"/>
  <c r="KR1" i="1" l="1"/>
  <c r="KQ2" i="1"/>
  <c r="KS1" i="1" l="1"/>
  <c r="KR2" i="1"/>
  <c r="KT1" i="1" l="1"/>
  <c r="KS2" i="1"/>
  <c r="KU1" i="1" l="1"/>
  <c r="KT2" i="1"/>
  <c r="KV1" i="1" l="1"/>
  <c r="KU2" i="1"/>
  <c r="KW1" i="1" l="1"/>
  <c r="KV2" i="1"/>
  <c r="KX1" i="1" l="1"/>
  <c r="KW2" i="1"/>
  <c r="KY1" i="1" l="1"/>
  <c r="KX2" i="1"/>
  <c r="KZ1" i="1" l="1"/>
  <c r="KY2" i="1"/>
  <c r="LA1" i="1" l="1"/>
  <c r="KZ2" i="1"/>
  <c r="LB1" i="1" l="1"/>
  <c r="LA2" i="1"/>
  <c r="LC1" i="1" l="1"/>
  <c r="LB2" i="1"/>
  <c r="LD1" i="1" l="1"/>
  <c r="LC2" i="1"/>
  <c r="LE1" i="1" l="1"/>
  <c r="LD2" i="1"/>
  <c r="LF1" i="1" l="1"/>
  <c r="LE2" i="1"/>
  <c r="LG1" i="1" l="1"/>
  <c r="LF2" i="1"/>
  <c r="LH1" i="1" l="1"/>
  <c r="LG2" i="1"/>
  <c r="LI1" i="1" l="1"/>
  <c r="LH2" i="1"/>
  <c r="LJ1" i="1" l="1"/>
  <c r="LI2" i="1"/>
  <c r="LK1" i="1" l="1"/>
  <c r="LJ2" i="1"/>
  <c r="LL1" i="1" l="1"/>
  <c r="LK2" i="1"/>
  <c r="LM1" i="1" l="1"/>
  <c r="LL2" i="1"/>
  <c r="LN1" i="1" l="1"/>
  <c r="LM2" i="1"/>
  <c r="LO1" i="1" l="1"/>
  <c r="LN2" i="1"/>
  <c r="LP1" i="1" l="1"/>
  <c r="LO2" i="1"/>
  <c r="LQ1" i="1" l="1"/>
  <c r="LP2" i="1"/>
  <c r="LR1" i="1" l="1"/>
  <c r="LQ2" i="1"/>
  <c r="LS1" i="1" l="1"/>
  <c r="LR2" i="1"/>
  <c r="LT1" i="1" l="1"/>
  <c r="LS2" i="1"/>
  <c r="LU1" i="1" l="1"/>
  <c r="LT2" i="1"/>
  <c r="LV1" i="1" l="1"/>
  <c r="LU2" i="1"/>
  <c r="LW1" i="1" l="1"/>
  <c r="LV2" i="1"/>
  <c r="LX1" i="1" l="1"/>
  <c r="LW2" i="1"/>
  <c r="LY1" i="1" l="1"/>
  <c r="LX2" i="1"/>
  <c r="LZ1" i="1" l="1"/>
  <c r="LY2" i="1"/>
  <c r="MA1" i="1" l="1"/>
  <c r="LZ2" i="1"/>
  <c r="MB1" i="1" l="1"/>
  <c r="MA2" i="1"/>
  <c r="MC1" i="1" l="1"/>
  <c r="MB2" i="1"/>
  <c r="MD1" i="1" l="1"/>
  <c r="MC2" i="1"/>
  <c r="ME1" i="1" l="1"/>
  <c r="MD2" i="1"/>
  <c r="MF1" i="1" l="1"/>
  <c r="ME2" i="1"/>
  <c r="MG1" i="1" l="1"/>
  <c r="MF2" i="1"/>
  <c r="MH1" i="1" l="1"/>
  <c r="MG2" i="1"/>
  <c r="MI1" i="1" l="1"/>
  <c r="MH2" i="1"/>
  <c r="MJ1" i="1" l="1"/>
  <c r="MI2" i="1"/>
  <c r="MK1" i="1" l="1"/>
  <c r="MJ2" i="1"/>
  <c r="ML1" i="1" l="1"/>
  <c r="MK2" i="1"/>
  <c r="MM1" i="1" l="1"/>
  <c r="ML2" i="1"/>
  <c r="MN1" i="1" l="1"/>
  <c r="MM2" i="1"/>
  <c r="MO1" i="1" l="1"/>
  <c r="MN2" i="1"/>
  <c r="MP1" i="1" l="1"/>
  <c r="MO2" i="1"/>
  <c r="MQ1" i="1" l="1"/>
  <c r="MP2" i="1"/>
  <c r="MR1" i="1" l="1"/>
  <c r="MQ2" i="1"/>
  <c r="MS1" i="1" l="1"/>
  <c r="MR2" i="1"/>
  <c r="MT1" i="1" l="1"/>
  <c r="MS2" i="1"/>
  <c r="MU1" i="1" l="1"/>
  <c r="MT2" i="1"/>
  <c r="MV1" i="1" l="1"/>
  <c r="MU2" i="1"/>
  <c r="MW1" i="1" l="1"/>
  <c r="MV2" i="1"/>
  <c r="MX1" i="1" l="1"/>
  <c r="MW2" i="1"/>
  <c r="MY1" i="1" l="1"/>
  <c r="MX2" i="1"/>
  <c r="MZ1" i="1" l="1"/>
  <c r="MY2" i="1"/>
  <c r="NA1" i="1" l="1"/>
  <c r="MZ2" i="1"/>
  <c r="NB1" i="1" l="1"/>
  <c r="NA2" i="1"/>
  <c r="NC1" i="1" l="1"/>
  <c r="NC2" i="1" s="1"/>
  <c r="NB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tc={BE773252-BE94-2846-9D4A-5B2860F370C3}</author>
  </authors>
  <commentList>
    <comment ref="B210" authorId="0" shapeId="0" xr:uid="{BE773252-BE94-2846-9D4A-5B2860F370C3}">
      <text>
        <t xml:space="preserve">[Threaded comment]
Your version of Excel allows you to read this threaded comment; however, any edits to it will get removed if the file is opened in a newer version of Excel. Learn more: https://go.microsoft.com/fwlink/?linkid=870924
Comment:
    Magenta - unsure if will add:
For instance could do 2 residents in first half of year for 5th SLUH team (ideally PGY2s), then interns second half.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tc={A3C7A87E-5F19-4B20-9E63-AEC648F95094}</author>
  </authors>
  <commentList>
    <comment ref="B214" authorId="0" shapeId="0" xr:uid="{A3C7A87E-5F19-4B20-9E63-AEC648F95094}">
      <text>
        <t xml:space="preserve">[Threaded comment]
Your version of Excel allows you to read this threaded comment; however, any edits to it will get removed if the file is opened in a newer version of Excel. Learn more: https://go.microsoft.com/fwlink/?linkid=870924
Comment:
    Magenta - unsure if will add:
For instance could do 2 residents in first half of year for 5th SLUH team (ideally PGY2s), then interns second half.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tc={7608B046-40D7-4E45-8632-642A3FF9FA78}</author>
  </authors>
  <commentList>
    <comment ref="B215" authorId="0" shapeId="0" xr:uid="{7608B046-40D7-4E45-8632-642A3FF9FA78}">
      <text>
        <t xml:space="preserve">[Threaded comment]
Your version of Excel allows you to read this threaded comment; however, any edits to it will get removed if the file is opened in a newer version of Excel. Learn more: https://go.microsoft.com/fwlink/?linkid=870924
Comment:
    Magenta - unsure if will add:
For instance could do 2 residents in first half of year for 5th SLUH team (ideally PGY2s), then interns second half. </t>
      </text>
    </comment>
  </commentList>
</comments>
</file>

<file path=xl/sharedStrings.xml><?xml version="1.0" encoding="utf-8"?>
<sst xmlns="http://schemas.openxmlformats.org/spreadsheetml/2006/main" count="7435" uniqueCount="265">
  <si>
    <t>DATE</t>
  </si>
  <si>
    <t>DAY</t>
  </si>
  <si>
    <t>RESIDENT</t>
  </si>
  <si>
    <t>y3_1</t>
  </si>
  <si>
    <t>Clinic</t>
  </si>
  <si>
    <t>y3_2</t>
  </si>
  <si>
    <t>y3_3</t>
  </si>
  <si>
    <t>y3_4</t>
  </si>
  <si>
    <t>y3_5</t>
  </si>
  <si>
    <t>y3_6</t>
  </si>
  <si>
    <t>y3_7</t>
  </si>
  <si>
    <t>y3_8</t>
  </si>
  <si>
    <t>y3_9</t>
  </si>
  <si>
    <t>y3_10</t>
  </si>
  <si>
    <t>y3_11</t>
  </si>
  <si>
    <t>y3_12</t>
  </si>
  <si>
    <t>y3_13</t>
  </si>
  <si>
    <t>y3_14</t>
  </si>
  <si>
    <t>y3_15</t>
  </si>
  <si>
    <t>y3_16</t>
  </si>
  <si>
    <t>y3_17</t>
  </si>
  <si>
    <t>y3_18</t>
  </si>
  <si>
    <t>y3_19</t>
  </si>
  <si>
    <t>y3_20</t>
  </si>
  <si>
    <t>y3_21</t>
  </si>
  <si>
    <t>y3_22</t>
  </si>
  <si>
    <t>y3_23</t>
  </si>
  <si>
    <t>y3_24</t>
  </si>
  <si>
    <t>y3_25</t>
  </si>
  <si>
    <t>y3_26</t>
  </si>
  <si>
    <t>y3_27</t>
  </si>
  <si>
    <t>y2_1</t>
  </si>
  <si>
    <t>y2_2</t>
  </si>
  <si>
    <t>y2_3</t>
  </si>
  <si>
    <t>y2_4</t>
  </si>
  <si>
    <t>y2_5</t>
  </si>
  <si>
    <t>y2_6</t>
  </si>
  <si>
    <t>y2_7</t>
  </si>
  <si>
    <t>y2_8</t>
  </si>
  <si>
    <t>y2_9</t>
  </si>
  <si>
    <t>y2_10</t>
  </si>
  <si>
    <t>y2_11</t>
  </si>
  <si>
    <t>y2_12</t>
  </si>
  <si>
    <t>y2_13</t>
  </si>
  <si>
    <t>y2_14</t>
  </si>
  <si>
    <t>y2_15</t>
  </si>
  <si>
    <t>y2_16</t>
  </si>
  <si>
    <t>y2_17</t>
  </si>
  <si>
    <t>y2_18</t>
  </si>
  <si>
    <t>y2_19</t>
  </si>
  <si>
    <t>y2_20</t>
  </si>
  <si>
    <t>y2_21</t>
  </si>
  <si>
    <t>y2_22</t>
  </si>
  <si>
    <t>y2_23</t>
  </si>
  <si>
    <t>y2_24</t>
  </si>
  <si>
    <t>y2_25</t>
  </si>
  <si>
    <t>y2_26</t>
  </si>
  <si>
    <t>y2_27</t>
  </si>
  <si>
    <t>y2_28</t>
  </si>
  <si>
    <t>y2_29</t>
  </si>
  <si>
    <t>y1_c1</t>
  </si>
  <si>
    <t>y1_c2</t>
  </si>
  <si>
    <t>y1_c3</t>
  </si>
  <si>
    <t>y1_c4</t>
  </si>
  <si>
    <t>y1_c5</t>
  </si>
  <si>
    <t>y1_c6</t>
  </si>
  <si>
    <t>y1_c7</t>
  </si>
  <si>
    <t>y1_c8</t>
  </si>
  <si>
    <t>y1_c9</t>
  </si>
  <si>
    <t>y1_c10</t>
  </si>
  <si>
    <t>y1_c11</t>
  </si>
  <si>
    <t>y1_c12</t>
  </si>
  <si>
    <t>y1_c13</t>
  </si>
  <si>
    <t>y1_c14</t>
  </si>
  <si>
    <t>y1_c15</t>
  </si>
  <si>
    <t>y1_c16</t>
  </si>
  <si>
    <t>y1_c17</t>
  </si>
  <si>
    <t>y1_c18</t>
  </si>
  <si>
    <t>y1_c19</t>
  </si>
  <si>
    <t>y1_c20</t>
  </si>
  <si>
    <t>y1_c21</t>
  </si>
  <si>
    <t>y1_c22</t>
  </si>
  <si>
    <t>y1_c23</t>
  </si>
  <si>
    <t>y1_c24</t>
  </si>
  <si>
    <t>y1_c25</t>
  </si>
  <si>
    <t>y1_c26</t>
  </si>
  <si>
    <t>y1_p1</t>
  </si>
  <si>
    <t>y1_p2</t>
  </si>
  <si>
    <t>y1_p3</t>
  </si>
  <si>
    <t>y1_p4</t>
  </si>
  <si>
    <t>y1_p5</t>
  </si>
  <si>
    <t>neuro1</t>
  </si>
  <si>
    <t>neuro2</t>
  </si>
  <si>
    <t>neuro3</t>
  </si>
  <si>
    <t>neuro4</t>
  </si>
  <si>
    <t>neuro5</t>
  </si>
  <si>
    <t>neuro6</t>
  </si>
  <si>
    <t>em1</t>
  </si>
  <si>
    <t>em2</t>
  </si>
  <si>
    <t>em3</t>
  </si>
  <si>
    <t>em4</t>
  </si>
  <si>
    <t>em5</t>
  </si>
  <si>
    <t>em6</t>
  </si>
  <si>
    <t>em7</t>
  </si>
  <si>
    <t>anes1</t>
  </si>
  <si>
    <t>anes2</t>
  </si>
  <si>
    <t>anes3</t>
  </si>
  <si>
    <t>anes4</t>
  </si>
  <si>
    <t>anes5</t>
  </si>
  <si>
    <t>anes6</t>
  </si>
  <si>
    <t>anes7</t>
  </si>
  <si>
    <t>anes8</t>
  </si>
  <si>
    <t>anes9</t>
  </si>
  <si>
    <t>anes10</t>
  </si>
  <si>
    <t>psy1</t>
  </si>
  <si>
    <t>psy2</t>
  </si>
  <si>
    <t>psy3</t>
  </si>
  <si>
    <t>psy4</t>
  </si>
  <si>
    <t>psy5</t>
  </si>
  <si>
    <t>psy6</t>
  </si>
  <si>
    <t>psy7</t>
  </si>
  <si>
    <t>psy8</t>
  </si>
  <si>
    <t>Total Clinic</t>
  </si>
  <si>
    <t># PGY3 UA</t>
  </si>
  <si>
    <t># PGY2 UA</t>
  </si>
  <si>
    <t># PGY1 UA</t>
  </si>
  <si>
    <t># Pre UA</t>
  </si>
  <si>
    <t>MK Hosp</t>
  </si>
  <si>
    <t>non MK hosp</t>
  </si>
  <si>
    <t>NF</t>
  </si>
  <si>
    <t xml:space="preserve">OP </t>
  </si>
  <si>
    <t>Off</t>
  </si>
  <si>
    <t>Week</t>
  </si>
  <si>
    <t>Counts:</t>
  </si>
  <si>
    <t>SLUHF</t>
  </si>
  <si>
    <t>VAF</t>
  </si>
  <si>
    <t>MICU</t>
  </si>
  <si>
    <t>Bronze</t>
  </si>
  <si>
    <t>Cards</t>
  </si>
  <si>
    <t>ID</t>
  </si>
  <si>
    <t>Jeo</t>
  </si>
  <si>
    <t>Swing</t>
  </si>
  <si>
    <t>Turkey</t>
  </si>
  <si>
    <t>xmas</t>
  </si>
  <si>
    <t>nye</t>
  </si>
  <si>
    <t>NA</t>
  </si>
  <si>
    <t>em8</t>
  </si>
  <si>
    <t>Rotation Counts:</t>
  </si>
  <si>
    <t>CC</t>
  </si>
  <si>
    <t>Check</t>
  </si>
  <si>
    <t>Senior:</t>
  </si>
  <si>
    <t>SLUH Floor</t>
  </si>
  <si>
    <t>rSLUH1</t>
  </si>
  <si>
    <t>rSLUH2</t>
  </si>
  <si>
    <t>rSLUH3</t>
  </si>
  <si>
    <t>rSLUH4</t>
  </si>
  <si>
    <t>rSLUH5</t>
  </si>
  <si>
    <t>rSLUH6</t>
  </si>
  <si>
    <t>VA Floor</t>
  </si>
  <si>
    <t>rVA1</t>
  </si>
  <si>
    <t>rVA2</t>
  </si>
  <si>
    <t>rVA3</t>
  </si>
  <si>
    <t>rVA4</t>
  </si>
  <si>
    <t>rVA5</t>
  </si>
  <si>
    <t>rMICU1</t>
  </si>
  <si>
    <t>rMICU2</t>
  </si>
  <si>
    <t>rMICU3</t>
  </si>
  <si>
    <t>rCar1</t>
  </si>
  <si>
    <t>rCar2</t>
  </si>
  <si>
    <t>bron1</t>
  </si>
  <si>
    <t>bron2</t>
  </si>
  <si>
    <t>Diamond</t>
  </si>
  <si>
    <t>Gold</t>
  </si>
  <si>
    <t>rNF1</t>
  </si>
  <si>
    <t>rNF2</t>
  </si>
  <si>
    <t>rNF3</t>
  </si>
  <si>
    <t>rNF4</t>
  </si>
  <si>
    <t>rNF5</t>
  </si>
  <si>
    <t>ID1</t>
  </si>
  <si>
    <t>Jeopardy</t>
  </si>
  <si>
    <t xml:space="preserve">Senior Total </t>
  </si>
  <si>
    <t>Expected</t>
  </si>
  <si>
    <t>Total Availble</t>
  </si>
  <si>
    <t>Intern:</t>
  </si>
  <si>
    <t>iSLUH1</t>
  </si>
  <si>
    <t>iSLUH2</t>
  </si>
  <si>
    <t>iSLUH3</t>
  </si>
  <si>
    <t>iSLUH4</t>
  </si>
  <si>
    <t>iSLUH5</t>
  </si>
  <si>
    <t>iSLUH6</t>
  </si>
  <si>
    <t>iSLUH7</t>
  </si>
  <si>
    <t>iSLUH8</t>
  </si>
  <si>
    <t>iSLUH9</t>
  </si>
  <si>
    <t>iSLUH10</t>
  </si>
  <si>
    <t>iVA1</t>
  </si>
  <si>
    <t>iVA2</t>
  </si>
  <si>
    <t>iVA3</t>
  </si>
  <si>
    <t>iVA4</t>
  </si>
  <si>
    <t>iVA5</t>
  </si>
  <si>
    <t>Vswing</t>
  </si>
  <si>
    <t>iMICU1</t>
  </si>
  <si>
    <t>iMICU2</t>
  </si>
  <si>
    <t>iMICU3</t>
  </si>
  <si>
    <t>iNF1</t>
  </si>
  <si>
    <t>iNF2</t>
  </si>
  <si>
    <t>iNF3</t>
  </si>
  <si>
    <t>iNF4</t>
  </si>
  <si>
    <t>icar</t>
  </si>
  <si>
    <t xml:space="preserve">Intern Total </t>
  </si>
  <si>
    <t>y1_c27</t>
  </si>
  <si>
    <t>y1_c28</t>
  </si>
  <si>
    <t>y1_c29</t>
  </si>
  <si>
    <t>y1_p6</t>
  </si>
  <si>
    <t>NOTES:</t>
  </si>
  <si>
    <t>OP</t>
  </si>
  <si>
    <t>"pair:</t>
  </si>
  <si>
    <t>sluh1, 5</t>
  </si>
  <si>
    <t>slu 2, 4</t>
  </si>
  <si>
    <t>sluh 3,6</t>
  </si>
  <si>
    <t>va1, 5</t>
  </si>
  <si>
    <t>va2,3</t>
  </si>
  <si>
    <t>va4, id</t>
  </si>
  <si>
    <t>Use NF5 in variable weeks</t>
  </si>
  <si>
    <t>Outpatient</t>
  </si>
  <si>
    <t>Unfilled</t>
  </si>
  <si>
    <t>Rotation Descriptions:</t>
  </si>
  <si>
    <t>jeopardy</t>
  </si>
  <si>
    <t>Clinic Structure - 15 per week</t>
  </si>
  <si>
    <t>VA Clinic M-F</t>
  </si>
  <si>
    <t>Mon AM</t>
  </si>
  <si>
    <t>Mon PM</t>
  </si>
  <si>
    <t>Tue AM</t>
  </si>
  <si>
    <t>Tue PM</t>
  </si>
  <si>
    <t>Wed AM</t>
  </si>
  <si>
    <t>Wed PM</t>
  </si>
  <si>
    <t xml:space="preserve">Thur AM </t>
  </si>
  <si>
    <t>Thur PM</t>
  </si>
  <si>
    <t>Fri AM</t>
  </si>
  <si>
    <t>Fri PM</t>
  </si>
  <si>
    <t>Total CSM</t>
  </si>
  <si>
    <t>Total VA</t>
  </si>
  <si>
    <t>Total Other</t>
  </si>
  <si>
    <t>Resident</t>
  </si>
  <si>
    <t>A</t>
  </si>
  <si>
    <t>Other</t>
  </si>
  <si>
    <t>VA</t>
  </si>
  <si>
    <t>CSM</t>
  </si>
  <si>
    <t>B</t>
  </si>
  <si>
    <t>C</t>
  </si>
  <si>
    <t>D</t>
  </si>
  <si>
    <t>E</t>
  </si>
  <si>
    <t>F</t>
  </si>
  <si>
    <t>G</t>
  </si>
  <si>
    <t xml:space="preserve">H </t>
  </si>
  <si>
    <t xml:space="preserve">I </t>
  </si>
  <si>
    <t>J</t>
  </si>
  <si>
    <t>K</t>
  </si>
  <si>
    <t>L</t>
  </si>
  <si>
    <t>M</t>
  </si>
  <si>
    <t>N</t>
  </si>
  <si>
    <t>O</t>
  </si>
  <si>
    <t>Counts</t>
  </si>
  <si>
    <t>VA Clinic M-Th</t>
  </si>
  <si>
    <t>CSM Faculty</t>
  </si>
  <si>
    <t>VA Faculty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</si>
</sst>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ptos Narrow"/>
      <family val="2"/>
      <scheme val="minor"/>
    </font>
    <font>
      <b/>
      <sz val="12"/>
      <color theme="1"/>
      <name val="Aptos Narrow"/>
      <scheme val="minor"/>
    </font>
    <font>
      <sz val="12"/>
      <color rgb="FF000000"/>
      <name val="Aptos Narrow"/>
      <family val="2"/>
      <scheme val="minor"/>
    </font>
    <font>
      <b/>
      <sz val="12"/>
      <color rgb="FF000000"/>
      <name val="Aptos Narrow"/>
      <scheme val="minor"/>
    </font>
    <font>
      <sz val="11"/>
      <color rgb="FF000000"/>
      <name val="Aptos Narrow"/>
      <family val="2"/>
      <scheme val="minor"/>
    </font>
    <font>
      <i/>
      <sz val="12"/>
      <color theme="1"/>
      <name val="Aptos Narrow"/>
      <scheme val="minor"/>
    </font>
    <font>
      <sz val="12"/>
      <color theme="1"/>
      <name val="Aptos Narrow"/>
      <scheme val="minor"/>
    </font>
    <font>
      <i/>
      <sz val="12"/>
      <color rgb="FF000000"/>
      <name val="Aptos Narrow"/>
      <scheme val="minor"/>
    </font>
    <font>
      <sz val="12"/>
      <color rgb="FF000000"/>
      <name val="Aptos Narrow"/>
      <scheme val="minor"/>
    </font>
    <font>
      <i/>
      <sz val="12"/>
      <color theme="1"/>
      <name val="Aptos Narrow"/>
      <family val="2"/>
      <scheme val="minor"/>
    </font>
    <font>
      <b/>
      <sz val="12"/>
      <color theme="1"/>
      <name val="Aptos Narrow"/>
      <family val="2"/>
      <scheme val="minor"/>
    </font>
  </fonts>
  <fills count="15">
    <fill>
      <patternFill patternType="none"/>
    </fill>
    <fill>
      <patternFill patternType="gray125"/>
    </fill>
    <fill>
      <patternFill patternType="solid">
        <fgColor rgb="FFFFFF00"/>
        <bgColor rgb="FF000000"/>
      </patternFill>
    </fill>
    <fill>
      <patternFill patternType="solid">
        <fgColor theme="3" tint="0.89999084444715716"/>
        <bgColor indexed="64"/>
      </patternFill>
    </fill>
    <fill>
      <patternFill patternType="solid">
        <fgColor theme="8" tint="0.79998168889431442"/>
        <bgColor indexed="64"/>
      </patternFill>
    </fill>
    <fill>
      <patternFill patternType="solid">
        <fgColor rgb="FFFFFF00"/>
        <bgColor indexed="64"/>
      </patternFill>
    </fill>
    <fill>
      <patternFill patternType="solid">
        <fgColor theme="8" tint="0.59999389629810485"/>
        <bgColor indexed="64"/>
      </patternFill>
    </fill>
    <fill>
      <patternFill patternType="solid">
        <fgColor rgb="FFE49EDD"/>
        <bgColor rgb="FF000000"/>
      </patternFill>
    </fill>
    <fill>
      <patternFill patternType="solid">
        <fgColor theme="5" tint="0.79998168889431442"/>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rgb="FFFF0000"/>
        <bgColor indexed="64"/>
      </patternFill>
    </fill>
    <fill>
      <patternFill patternType="solid">
        <fgColor theme="6" tint="0.59999389629810485"/>
        <bgColor indexed="64"/>
      </patternFill>
    </fill>
    <fill>
      <patternFill patternType="solid">
        <fgColor theme="2" tint="-0.89999084444715716"/>
        <bgColor indexed="64"/>
      </patternFill>
    </fill>
    <fill>
      <patternFill patternType="solid">
        <fgColor theme="8" tint="-0.249977111117893"/>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29">
    <xf numFmtId="0" fontId="0" fillId="0" borderId="0" xfId="0"/>
    <xf numFmtId="0" fontId="1" fillId="0" borderId="0" xfId="0" applyFont="1"/>
    <xf numFmtId="15" fontId="0" fillId="0" borderId="0" xfId="0" applyNumberFormat="1"/>
    <xf numFmtId="16" fontId="4" fillId="0" borderId="1" xfId="0" applyNumberFormat="1" applyFont="1" applyBorder="1" applyAlignment="1">
      <alignment horizontal="center"/>
    </xf>
    <xf numFmtId="16" fontId="4" fillId="2" borderId="1" xfId="0" applyNumberFormat="1" applyFont="1" applyFill="1" applyBorder="1" applyAlignment="1">
      <alignment horizontal="center"/>
    </xf>
    <xf numFmtId="16" fontId="4" fillId="0" borderId="2" xfId="0" applyNumberFormat="1" applyFont="1" applyBorder="1" applyAlignment="1">
      <alignment horizontal="center"/>
    </xf>
    <xf numFmtId="16" fontId="4" fillId="0" borderId="3" xfId="0" applyNumberFormat="1" applyFont="1" applyBorder="1" applyAlignment="1">
      <alignment horizontal="center"/>
    </xf>
    <xf numFmtId="0" fontId="2" fillId="0" borderId="0" xfId="0" applyFont="1"/>
    <xf numFmtId="0" fontId="5" fillId="0" borderId="0" xfId="0" applyFont="1"/>
    <xf numFmtId="0" fontId="6" fillId="0" borderId="0" xfId="0" applyFont="1"/>
    <xf numFmtId="0" fontId="0" fillId="3" borderId="0" xfId="0" applyFill="1"/>
    <xf numFmtId="0" fontId="0" fillId="4" borderId="0" xfId="0" applyFill="1"/>
    <xf numFmtId="0" fontId="0" fillId="5" borderId="0" xfId="0" applyFill="1"/>
    <xf numFmtId="0" fontId="2" fillId="6" borderId="0" xfId="0" applyFont="1" applyFill="1"/>
    <xf numFmtId="0" fontId="0" fillId="6" borderId="0" xfId="0" applyFill="1"/>
    <xf numFmtId="0" fontId="3" fillId="0" borderId="0" xfId="0" applyFont="1"/>
    <xf numFmtId="0" fontId="7" fillId="0" borderId="0" xfId="0" applyFont="1"/>
    <xf numFmtId="0" fontId="2" fillId="7" borderId="0" xfId="0" applyFont="1" applyFill="1"/>
    <xf numFmtId="0" fontId="8" fillId="0" borderId="0" xfId="0" applyFont="1"/>
    <xf numFmtId="0" fontId="0" fillId="8" borderId="0" xfId="0" applyFill="1"/>
    <xf numFmtId="0" fontId="0" fillId="9" borderId="0" xfId="0" applyFill="1"/>
    <xf numFmtId="0" fontId="0" fillId="10" borderId="0" xfId="0" applyFill="1"/>
    <xf numFmtId="0" fontId="9" fillId="0" borderId="0" xfId="0" applyFont="1"/>
    <xf numFmtId="15" fontId="0" fillId="5" borderId="0" xfId="0" applyNumberFormat="1" applyFill="1"/>
    <xf numFmtId="0" fontId="10" fillId="0" borderId="0" xfId="0" applyFont="1"/>
    <xf numFmtId="0" fontId="0" fillId="11" borderId="0" xfId="0" applyFill="1"/>
    <xf numFmtId="0" fontId="0" fillId="12" borderId="0" xfId="0" applyFill="1"/>
    <xf numFmtId="0" fontId="0" fillId="13" borderId="0" xfId="0" applyFill="1"/>
    <xf numFmtId="0" fontId="0" fillId="14" borderId="0" xfId="0" applyFill="1"/>
  </cellXfs>
  <cellStyles count="1">
    <cellStyle name="Normal" xfId="0" builtinId="0"/>
  </cellStyles>
  <dxfs count="7">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0091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Buckhold, Fred" id="{DA9DE940-9BAB-DC4F-8A2F-63F11FB401F2}" userId="S::Fred.Buckhold@slucare.ssmhealth.com::875b24ed-68f6-469f-ad0a-35a7de12f2c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10" dT="2026-01-11T15:36:26.43" personId="{DA9DE940-9BAB-DC4F-8A2F-63F11FB401F2}" id="{BE773252-BE94-2846-9D4A-5B2860F370C3}">
    <text xml:space="preserve">Magenta - unsure if will add:
For instance could do 2 residents in first half of year for 5th SLUH team (ideally PGY2s), then interns second half. </text>
  </threadedComment>
</ThreadedComments>
</file>

<file path=xl/threadedComments/threadedComment2.xml><?xml version="1.0" encoding="utf-8"?>
<ThreadedComments xmlns="http://schemas.microsoft.com/office/spreadsheetml/2018/threadedcomments" xmlns:x="http://schemas.openxmlformats.org/spreadsheetml/2006/main">
  <threadedComment ref="B214" dT="2026-01-11T15:36:26.43" personId="{DA9DE940-9BAB-DC4F-8A2F-63F11FB401F2}" id="{A3C7A87E-5F19-4B20-9E63-AEC648F95094}">
    <text xml:space="preserve">Magenta - unsure if will add:
For instance could do 2 residents in first half of year for 5th SLUH team (ideally PGY2s), then interns second half. </text>
  </threadedComment>
</ThreadedComments>
</file>

<file path=xl/threadedComments/threadedComment3.xml><?xml version="1.0" encoding="utf-8"?>
<ThreadedComments xmlns="http://schemas.microsoft.com/office/spreadsheetml/2018/threadedcomments" xmlns:x="http://schemas.openxmlformats.org/spreadsheetml/2006/main">
  <threadedComment ref="B215" dT="2026-01-11T15:36:26.43" personId="{DA9DE940-9BAB-DC4F-8A2F-63F11FB401F2}" id="{7608B046-40D7-4E45-8632-642A3FF9FA78}">
    <text xml:space="preserve">Magenta - unsure if will add:
For instance could do 2 residents in first half of year for 5th SLUH team (ideally PGY2s), then interns second half. </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A4242-6584-AB48-A4A0-46863B6B95C2}">
  <dimension ref="A1:NE137"/>
  <sheetViews>
    <sheetView tabSelected="1" workbookViewId="0">
      <pane ySplit="3" topLeftCell="D62" activePane="bottomLeft" state="frozen"/>
      <selection pane="bottomLeft" activeCell="G11" sqref="G11"/>
    </sheetView>
  </sheetViews>
  <sheetFormatPr defaultColWidth="11" defaultRowHeight="15.95"/>
  <cols>
    <col min="148" max="154" width="11" style="12"/>
    <col min="176" max="189" width="11" style="12"/>
  </cols>
  <sheetData>
    <row r="1" spans="1:369">
      <c r="B1" s="1" t="s">
        <v>0</v>
      </c>
      <c r="C1" s="2">
        <v>46204</v>
      </c>
      <c r="D1" s="2">
        <f>C1+1</f>
        <v>46205</v>
      </c>
      <c r="E1" s="2">
        <f t="shared" ref="E1:BP1" si="0">D1+1</f>
        <v>46206</v>
      </c>
      <c r="F1" s="2">
        <f t="shared" si="0"/>
        <v>46207</v>
      </c>
      <c r="G1" s="2">
        <f t="shared" si="0"/>
        <v>46208</v>
      </c>
      <c r="H1" s="2">
        <f t="shared" si="0"/>
        <v>46209</v>
      </c>
      <c r="I1" s="2">
        <f t="shared" si="0"/>
        <v>46210</v>
      </c>
      <c r="J1" s="2">
        <f t="shared" si="0"/>
        <v>46211</v>
      </c>
      <c r="K1" s="2">
        <f t="shared" si="0"/>
        <v>46212</v>
      </c>
      <c r="L1" s="2">
        <f t="shared" si="0"/>
        <v>46213</v>
      </c>
      <c r="M1" s="2">
        <f t="shared" si="0"/>
        <v>46214</v>
      </c>
      <c r="N1" s="2">
        <f t="shared" si="0"/>
        <v>46215</v>
      </c>
      <c r="O1" s="2">
        <f t="shared" si="0"/>
        <v>46216</v>
      </c>
      <c r="P1" s="2">
        <f t="shared" si="0"/>
        <v>46217</v>
      </c>
      <c r="Q1" s="2">
        <f t="shared" si="0"/>
        <v>46218</v>
      </c>
      <c r="R1" s="2">
        <f t="shared" si="0"/>
        <v>46219</v>
      </c>
      <c r="S1" s="2">
        <f t="shared" si="0"/>
        <v>46220</v>
      </c>
      <c r="T1" s="2">
        <f t="shared" si="0"/>
        <v>46221</v>
      </c>
      <c r="U1" s="2">
        <f t="shared" si="0"/>
        <v>46222</v>
      </c>
      <c r="V1" s="2">
        <f t="shared" si="0"/>
        <v>46223</v>
      </c>
      <c r="W1" s="2">
        <f t="shared" si="0"/>
        <v>46224</v>
      </c>
      <c r="X1" s="2">
        <f t="shared" si="0"/>
        <v>46225</v>
      </c>
      <c r="Y1" s="2">
        <f t="shared" si="0"/>
        <v>46226</v>
      </c>
      <c r="Z1" s="2">
        <f t="shared" si="0"/>
        <v>46227</v>
      </c>
      <c r="AA1" s="2">
        <f t="shared" si="0"/>
        <v>46228</v>
      </c>
      <c r="AB1" s="2">
        <f t="shared" si="0"/>
        <v>46229</v>
      </c>
      <c r="AC1" s="2">
        <f t="shared" si="0"/>
        <v>46230</v>
      </c>
      <c r="AD1" s="2">
        <f t="shared" si="0"/>
        <v>46231</v>
      </c>
      <c r="AE1" s="2">
        <f t="shared" si="0"/>
        <v>46232</v>
      </c>
      <c r="AF1" s="2">
        <f t="shared" si="0"/>
        <v>46233</v>
      </c>
      <c r="AG1" s="2">
        <f t="shared" si="0"/>
        <v>46234</v>
      </c>
      <c r="AH1" s="2">
        <f t="shared" si="0"/>
        <v>46235</v>
      </c>
      <c r="AI1" s="2">
        <f t="shared" si="0"/>
        <v>46236</v>
      </c>
      <c r="AJ1" s="2">
        <f t="shared" si="0"/>
        <v>46237</v>
      </c>
      <c r="AK1" s="2">
        <f t="shared" si="0"/>
        <v>46238</v>
      </c>
      <c r="AL1" s="2">
        <f t="shared" si="0"/>
        <v>46239</v>
      </c>
      <c r="AM1" s="2">
        <f t="shared" si="0"/>
        <v>46240</v>
      </c>
      <c r="AN1" s="2">
        <f t="shared" si="0"/>
        <v>46241</v>
      </c>
      <c r="AO1" s="2">
        <f t="shared" si="0"/>
        <v>46242</v>
      </c>
      <c r="AP1" s="2">
        <f t="shared" si="0"/>
        <v>46243</v>
      </c>
      <c r="AQ1" s="2">
        <f t="shared" si="0"/>
        <v>46244</v>
      </c>
      <c r="AR1" s="2">
        <f t="shared" si="0"/>
        <v>46245</v>
      </c>
      <c r="AS1" s="2">
        <f t="shared" si="0"/>
        <v>46246</v>
      </c>
      <c r="AT1" s="2">
        <f t="shared" si="0"/>
        <v>46247</v>
      </c>
      <c r="AU1" s="2">
        <f t="shared" si="0"/>
        <v>46248</v>
      </c>
      <c r="AV1" s="2">
        <f t="shared" si="0"/>
        <v>46249</v>
      </c>
      <c r="AW1" s="2">
        <f t="shared" si="0"/>
        <v>46250</v>
      </c>
      <c r="AX1" s="2">
        <f t="shared" si="0"/>
        <v>46251</v>
      </c>
      <c r="AY1" s="2">
        <f t="shared" si="0"/>
        <v>46252</v>
      </c>
      <c r="AZ1" s="2">
        <f t="shared" si="0"/>
        <v>46253</v>
      </c>
      <c r="BA1" s="2">
        <f t="shared" si="0"/>
        <v>46254</v>
      </c>
      <c r="BB1" s="2">
        <f t="shared" si="0"/>
        <v>46255</v>
      </c>
      <c r="BC1" s="2">
        <f t="shared" si="0"/>
        <v>46256</v>
      </c>
      <c r="BD1" s="2">
        <f t="shared" si="0"/>
        <v>46257</v>
      </c>
      <c r="BE1" s="2">
        <f t="shared" si="0"/>
        <v>46258</v>
      </c>
      <c r="BF1" s="2">
        <f t="shared" si="0"/>
        <v>46259</v>
      </c>
      <c r="BG1" s="2">
        <f t="shared" si="0"/>
        <v>46260</v>
      </c>
      <c r="BH1" s="2">
        <f t="shared" si="0"/>
        <v>46261</v>
      </c>
      <c r="BI1" s="2">
        <f t="shared" si="0"/>
        <v>46262</v>
      </c>
      <c r="BJ1" s="2">
        <f t="shared" si="0"/>
        <v>46263</v>
      </c>
      <c r="BK1" s="2">
        <f t="shared" si="0"/>
        <v>46264</v>
      </c>
      <c r="BL1" s="2">
        <f t="shared" si="0"/>
        <v>46265</v>
      </c>
      <c r="BM1" s="2">
        <f t="shared" si="0"/>
        <v>46266</v>
      </c>
      <c r="BN1" s="2">
        <f t="shared" si="0"/>
        <v>46267</v>
      </c>
      <c r="BO1" s="2">
        <f t="shared" si="0"/>
        <v>46268</v>
      </c>
      <c r="BP1" s="2">
        <f t="shared" si="0"/>
        <v>46269</v>
      </c>
      <c r="BQ1" s="2">
        <f t="shared" ref="BQ1:EB1" si="1">BP1+1</f>
        <v>46270</v>
      </c>
      <c r="BR1" s="2">
        <f t="shared" si="1"/>
        <v>46271</v>
      </c>
      <c r="BS1" s="2">
        <f t="shared" si="1"/>
        <v>46272</v>
      </c>
      <c r="BT1" s="2">
        <f t="shared" si="1"/>
        <v>46273</v>
      </c>
      <c r="BU1" s="2">
        <f t="shared" si="1"/>
        <v>46274</v>
      </c>
      <c r="BV1" s="2">
        <f t="shared" si="1"/>
        <v>46275</v>
      </c>
      <c r="BW1" s="2">
        <f t="shared" si="1"/>
        <v>46276</v>
      </c>
      <c r="BX1" s="2">
        <f t="shared" si="1"/>
        <v>46277</v>
      </c>
      <c r="BY1" s="2">
        <f t="shared" si="1"/>
        <v>46278</v>
      </c>
      <c r="BZ1" s="2">
        <f t="shared" si="1"/>
        <v>46279</v>
      </c>
      <c r="CA1" s="2">
        <f t="shared" si="1"/>
        <v>46280</v>
      </c>
      <c r="CB1" s="2">
        <f t="shared" si="1"/>
        <v>46281</v>
      </c>
      <c r="CC1" s="2">
        <f t="shared" si="1"/>
        <v>46282</v>
      </c>
      <c r="CD1" s="2">
        <f t="shared" si="1"/>
        <v>46283</v>
      </c>
      <c r="CE1" s="2">
        <f t="shared" si="1"/>
        <v>46284</v>
      </c>
      <c r="CF1" s="2">
        <f t="shared" si="1"/>
        <v>46285</v>
      </c>
      <c r="CG1" s="2">
        <f t="shared" si="1"/>
        <v>46286</v>
      </c>
      <c r="CH1" s="2">
        <f t="shared" si="1"/>
        <v>46287</v>
      </c>
      <c r="CI1" s="2">
        <f t="shared" si="1"/>
        <v>46288</v>
      </c>
      <c r="CJ1" s="2">
        <f t="shared" si="1"/>
        <v>46289</v>
      </c>
      <c r="CK1" s="2">
        <f t="shared" si="1"/>
        <v>46290</v>
      </c>
      <c r="CL1" s="2">
        <f t="shared" si="1"/>
        <v>46291</v>
      </c>
      <c r="CM1" s="2">
        <f t="shared" si="1"/>
        <v>46292</v>
      </c>
      <c r="CN1" s="2">
        <f t="shared" si="1"/>
        <v>46293</v>
      </c>
      <c r="CO1" s="2">
        <f t="shared" si="1"/>
        <v>46294</v>
      </c>
      <c r="CP1" s="2">
        <f t="shared" si="1"/>
        <v>46295</v>
      </c>
      <c r="CQ1" s="2">
        <f t="shared" si="1"/>
        <v>46296</v>
      </c>
      <c r="CR1" s="2">
        <f t="shared" si="1"/>
        <v>46297</v>
      </c>
      <c r="CS1" s="2">
        <f t="shared" si="1"/>
        <v>46298</v>
      </c>
      <c r="CT1" s="2">
        <f t="shared" si="1"/>
        <v>46299</v>
      </c>
      <c r="CU1" s="2">
        <f t="shared" si="1"/>
        <v>46300</v>
      </c>
      <c r="CV1" s="2">
        <f t="shared" si="1"/>
        <v>46301</v>
      </c>
      <c r="CW1" s="2">
        <f t="shared" si="1"/>
        <v>46302</v>
      </c>
      <c r="CX1" s="2">
        <f t="shared" si="1"/>
        <v>46303</v>
      </c>
      <c r="CY1" s="2">
        <f t="shared" si="1"/>
        <v>46304</v>
      </c>
      <c r="CZ1" s="2">
        <f t="shared" si="1"/>
        <v>46305</v>
      </c>
      <c r="DA1" s="2">
        <f t="shared" si="1"/>
        <v>46306</v>
      </c>
      <c r="DB1" s="2">
        <f t="shared" si="1"/>
        <v>46307</v>
      </c>
      <c r="DC1" s="2">
        <f t="shared" si="1"/>
        <v>46308</v>
      </c>
      <c r="DD1" s="2">
        <f t="shared" si="1"/>
        <v>46309</v>
      </c>
      <c r="DE1" s="2">
        <f t="shared" si="1"/>
        <v>46310</v>
      </c>
      <c r="DF1" s="2">
        <f t="shared" si="1"/>
        <v>46311</v>
      </c>
      <c r="DG1" s="2">
        <f t="shared" si="1"/>
        <v>46312</v>
      </c>
      <c r="DH1" s="2">
        <f t="shared" si="1"/>
        <v>46313</v>
      </c>
      <c r="DI1" s="2">
        <f t="shared" si="1"/>
        <v>46314</v>
      </c>
      <c r="DJ1" s="2">
        <f t="shared" si="1"/>
        <v>46315</v>
      </c>
      <c r="DK1" s="2">
        <f t="shared" si="1"/>
        <v>46316</v>
      </c>
      <c r="DL1" s="2">
        <f t="shared" si="1"/>
        <v>46317</v>
      </c>
      <c r="DM1" s="2">
        <f t="shared" si="1"/>
        <v>46318</v>
      </c>
      <c r="DN1" s="2">
        <f t="shared" si="1"/>
        <v>46319</v>
      </c>
      <c r="DO1" s="2">
        <f t="shared" si="1"/>
        <v>46320</v>
      </c>
      <c r="DP1" s="2">
        <f t="shared" si="1"/>
        <v>46321</v>
      </c>
      <c r="DQ1" s="2">
        <f t="shared" si="1"/>
        <v>46322</v>
      </c>
      <c r="DR1" s="2">
        <f t="shared" si="1"/>
        <v>46323</v>
      </c>
      <c r="DS1" s="2">
        <f t="shared" si="1"/>
        <v>46324</v>
      </c>
      <c r="DT1" s="2">
        <f t="shared" si="1"/>
        <v>46325</v>
      </c>
      <c r="DU1" s="2">
        <f t="shared" si="1"/>
        <v>46326</v>
      </c>
      <c r="DV1" s="2">
        <f t="shared" si="1"/>
        <v>46327</v>
      </c>
      <c r="DW1" s="2">
        <f t="shared" si="1"/>
        <v>46328</v>
      </c>
      <c r="DX1" s="2">
        <f t="shared" si="1"/>
        <v>46329</v>
      </c>
      <c r="DY1" s="2">
        <f t="shared" si="1"/>
        <v>46330</v>
      </c>
      <c r="DZ1" s="2">
        <f t="shared" si="1"/>
        <v>46331</v>
      </c>
      <c r="EA1" s="2">
        <f t="shared" si="1"/>
        <v>46332</v>
      </c>
      <c r="EB1" s="2">
        <f t="shared" si="1"/>
        <v>46333</v>
      </c>
      <c r="EC1" s="2">
        <f t="shared" ref="EC1:GN1" si="2">EB1+1</f>
        <v>46334</v>
      </c>
      <c r="ED1" s="2">
        <f t="shared" si="2"/>
        <v>46335</v>
      </c>
      <c r="EE1" s="2">
        <f t="shared" si="2"/>
        <v>46336</v>
      </c>
      <c r="EF1" s="2">
        <f t="shared" si="2"/>
        <v>46337</v>
      </c>
      <c r="EG1" s="2">
        <f t="shared" si="2"/>
        <v>46338</v>
      </c>
      <c r="EH1" s="2">
        <f t="shared" si="2"/>
        <v>46339</v>
      </c>
      <c r="EI1" s="2">
        <f t="shared" si="2"/>
        <v>46340</v>
      </c>
      <c r="EJ1" s="2">
        <f t="shared" si="2"/>
        <v>46341</v>
      </c>
      <c r="EK1" s="2">
        <f t="shared" si="2"/>
        <v>46342</v>
      </c>
      <c r="EL1" s="2">
        <f t="shared" si="2"/>
        <v>46343</v>
      </c>
      <c r="EM1" s="2">
        <f t="shared" si="2"/>
        <v>46344</v>
      </c>
      <c r="EN1" s="2">
        <f t="shared" si="2"/>
        <v>46345</v>
      </c>
      <c r="EO1" s="2">
        <f t="shared" si="2"/>
        <v>46346</v>
      </c>
      <c r="EP1" s="2">
        <f t="shared" si="2"/>
        <v>46347</v>
      </c>
      <c r="EQ1" s="2">
        <f t="shared" si="2"/>
        <v>46348</v>
      </c>
      <c r="ER1" s="23">
        <f t="shared" si="2"/>
        <v>46349</v>
      </c>
      <c r="ES1" s="23">
        <f t="shared" si="2"/>
        <v>46350</v>
      </c>
      <c r="ET1" s="23">
        <f t="shared" si="2"/>
        <v>46351</v>
      </c>
      <c r="EU1" s="23">
        <f t="shared" si="2"/>
        <v>46352</v>
      </c>
      <c r="EV1" s="23">
        <f t="shared" si="2"/>
        <v>46353</v>
      </c>
      <c r="EW1" s="23">
        <f t="shared" si="2"/>
        <v>46354</v>
      </c>
      <c r="EX1" s="23">
        <f t="shared" si="2"/>
        <v>46355</v>
      </c>
      <c r="EY1" s="2">
        <f t="shared" si="2"/>
        <v>46356</v>
      </c>
      <c r="EZ1" s="2">
        <f t="shared" si="2"/>
        <v>46357</v>
      </c>
      <c r="FA1" s="2">
        <f t="shared" si="2"/>
        <v>46358</v>
      </c>
      <c r="FB1" s="2">
        <f t="shared" si="2"/>
        <v>46359</v>
      </c>
      <c r="FC1" s="2">
        <f t="shared" si="2"/>
        <v>46360</v>
      </c>
      <c r="FD1" s="2">
        <f t="shared" si="2"/>
        <v>46361</v>
      </c>
      <c r="FE1" s="2">
        <f t="shared" si="2"/>
        <v>46362</v>
      </c>
      <c r="FF1" s="2">
        <f t="shared" si="2"/>
        <v>46363</v>
      </c>
      <c r="FG1" s="2">
        <f t="shared" si="2"/>
        <v>46364</v>
      </c>
      <c r="FH1" s="2">
        <f t="shared" si="2"/>
        <v>46365</v>
      </c>
      <c r="FI1" s="2">
        <f t="shared" si="2"/>
        <v>46366</v>
      </c>
      <c r="FJ1" s="2">
        <f t="shared" si="2"/>
        <v>46367</v>
      </c>
      <c r="FK1" s="2">
        <f t="shared" si="2"/>
        <v>46368</v>
      </c>
      <c r="FL1" s="2">
        <f t="shared" si="2"/>
        <v>46369</v>
      </c>
      <c r="FM1" s="2">
        <f t="shared" si="2"/>
        <v>46370</v>
      </c>
      <c r="FN1" s="2">
        <f t="shared" si="2"/>
        <v>46371</v>
      </c>
      <c r="FO1" s="2">
        <f t="shared" si="2"/>
        <v>46372</v>
      </c>
      <c r="FP1" s="2">
        <f t="shared" si="2"/>
        <v>46373</v>
      </c>
      <c r="FQ1" s="2">
        <f t="shared" si="2"/>
        <v>46374</v>
      </c>
      <c r="FR1" s="2">
        <f t="shared" si="2"/>
        <v>46375</v>
      </c>
      <c r="FS1" s="2">
        <f t="shared" si="2"/>
        <v>46376</v>
      </c>
      <c r="FT1" s="23">
        <f t="shared" si="2"/>
        <v>46377</v>
      </c>
      <c r="FU1" s="23">
        <f t="shared" si="2"/>
        <v>46378</v>
      </c>
      <c r="FV1" s="23">
        <f t="shared" si="2"/>
        <v>46379</v>
      </c>
      <c r="FW1" s="23">
        <f t="shared" si="2"/>
        <v>46380</v>
      </c>
      <c r="FX1" s="23">
        <f t="shared" si="2"/>
        <v>46381</v>
      </c>
      <c r="FY1" s="23">
        <f t="shared" si="2"/>
        <v>46382</v>
      </c>
      <c r="FZ1" s="23">
        <f t="shared" si="2"/>
        <v>46383</v>
      </c>
      <c r="GA1" s="23">
        <f t="shared" si="2"/>
        <v>46384</v>
      </c>
      <c r="GB1" s="23">
        <f t="shared" si="2"/>
        <v>46385</v>
      </c>
      <c r="GC1" s="23">
        <f t="shared" si="2"/>
        <v>46386</v>
      </c>
      <c r="GD1" s="23">
        <f t="shared" si="2"/>
        <v>46387</v>
      </c>
      <c r="GE1" s="23">
        <f t="shared" si="2"/>
        <v>46388</v>
      </c>
      <c r="GF1" s="23">
        <f t="shared" si="2"/>
        <v>46389</v>
      </c>
      <c r="GG1" s="23">
        <f t="shared" si="2"/>
        <v>46390</v>
      </c>
      <c r="GH1" s="2">
        <f t="shared" si="2"/>
        <v>46391</v>
      </c>
      <c r="GI1" s="2">
        <f t="shared" si="2"/>
        <v>46392</v>
      </c>
      <c r="GJ1" s="2">
        <f t="shared" si="2"/>
        <v>46393</v>
      </c>
      <c r="GK1" s="2">
        <f t="shared" si="2"/>
        <v>46394</v>
      </c>
      <c r="GL1" s="2">
        <f t="shared" si="2"/>
        <v>46395</v>
      </c>
      <c r="GM1" s="2">
        <f t="shared" si="2"/>
        <v>46396</v>
      </c>
      <c r="GN1" s="2">
        <f t="shared" si="2"/>
        <v>46397</v>
      </c>
      <c r="GO1" s="2">
        <f t="shared" ref="GO1:IZ1" si="3">GN1+1</f>
        <v>46398</v>
      </c>
      <c r="GP1" s="2">
        <f t="shared" si="3"/>
        <v>46399</v>
      </c>
      <c r="GQ1" s="2">
        <f t="shared" si="3"/>
        <v>46400</v>
      </c>
      <c r="GR1" s="2">
        <f t="shared" si="3"/>
        <v>46401</v>
      </c>
      <c r="GS1" s="2">
        <f t="shared" si="3"/>
        <v>46402</v>
      </c>
      <c r="GT1" s="2">
        <f t="shared" si="3"/>
        <v>46403</v>
      </c>
      <c r="GU1" s="2">
        <f t="shared" si="3"/>
        <v>46404</v>
      </c>
      <c r="GV1" s="2">
        <f t="shared" si="3"/>
        <v>46405</v>
      </c>
      <c r="GW1" s="2">
        <f t="shared" si="3"/>
        <v>46406</v>
      </c>
      <c r="GX1" s="2">
        <f t="shared" si="3"/>
        <v>46407</v>
      </c>
      <c r="GY1" s="2">
        <f t="shared" si="3"/>
        <v>46408</v>
      </c>
      <c r="GZ1" s="2">
        <f t="shared" si="3"/>
        <v>46409</v>
      </c>
      <c r="HA1" s="2">
        <f t="shared" si="3"/>
        <v>46410</v>
      </c>
      <c r="HB1" s="2">
        <f t="shared" si="3"/>
        <v>46411</v>
      </c>
      <c r="HC1" s="2">
        <f t="shared" si="3"/>
        <v>46412</v>
      </c>
      <c r="HD1" s="2">
        <f t="shared" si="3"/>
        <v>46413</v>
      </c>
      <c r="HE1" s="2">
        <f t="shared" si="3"/>
        <v>46414</v>
      </c>
      <c r="HF1" s="2">
        <f t="shared" si="3"/>
        <v>46415</v>
      </c>
      <c r="HG1" s="2">
        <f t="shared" si="3"/>
        <v>46416</v>
      </c>
      <c r="HH1" s="2">
        <f t="shared" si="3"/>
        <v>46417</v>
      </c>
      <c r="HI1" s="2">
        <f t="shared" si="3"/>
        <v>46418</v>
      </c>
      <c r="HJ1" s="2">
        <f t="shared" si="3"/>
        <v>46419</v>
      </c>
      <c r="HK1" s="2">
        <f t="shared" si="3"/>
        <v>46420</v>
      </c>
      <c r="HL1" s="2">
        <f t="shared" si="3"/>
        <v>46421</v>
      </c>
      <c r="HM1" s="2">
        <f t="shared" si="3"/>
        <v>46422</v>
      </c>
      <c r="HN1" s="2">
        <f t="shared" si="3"/>
        <v>46423</v>
      </c>
      <c r="HO1" s="2">
        <f t="shared" si="3"/>
        <v>46424</v>
      </c>
      <c r="HP1" s="2">
        <f t="shared" si="3"/>
        <v>46425</v>
      </c>
      <c r="HQ1" s="2">
        <f t="shared" si="3"/>
        <v>46426</v>
      </c>
      <c r="HR1" s="2">
        <f t="shared" si="3"/>
        <v>46427</v>
      </c>
      <c r="HS1" s="2">
        <f t="shared" si="3"/>
        <v>46428</v>
      </c>
      <c r="HT1" s="2">
        <f t="shared" si="3"/>
        <v>46429</v>
      </c>
      <c r="HU1" s="2">
        <f t="shared" si="3"/>
        <v>46430</v>
      </c>
      <c r="HV1" s="2">
        <f t="shared" si="3"/>
        <v>46431</v>
      </c>
      <c r="HW1" s="2">
        <f t="shared" si="3"/>
        <v>46432</v>
      </c>
      <c r="HX1" s="2">
        <f t="shared" si="3"/>
        <v>46433</v>
      </c>
      <c r="HY1" s="2">
        <f t="shared" si="3"/>
        <v>46434</v>
      </c>
      <c r="HZ1" s="2">
        <f t="shared" si="3"/>
        <v>46435</v>
      </c>
      <c r="IA1" s="2">
        <f t="shared" si="3"/>
        <v>46436</v>
      </c>
      <c r="IB1" s="2">
        <f t="shared" si="3"/>
        <v>46437</v>
      </c>
      <c r="IC1" s="2">
        <f t="shared" si="3"/>
        <v>46438</v>
      </c>
      <c r="ID1" s="2">
        <f t="shared" si="3"/>
        <v>46439</v>
      </c>
      <c r="IE1" s="2">
        <f t="shared" si="3"/>
        <v>46440</v>
      </c>
      <c r="IF1" s="2">
        <f t="shared" si="3"/>
        <v>46441</v>
      </c>
      <c r="IG1" s="2">
        <f t="shared" si="3"/>
        <v>46442</v>
      </c>
      <c r="IH1" s="2">
        <f t="shared" si="3"/>
        <v>46443</v>
      </c>
      <c r="II1" s="2">
        <f t="shared" si="3"/>
        <v>46444</v>
      </c>
      <c r="IJ1" s="2">
        <f t="shared" si="3"/>
        <v>46445</v>
      </c>
      <c r="IK1" s="2">
        <f t="shared" si="3"/>
        <v>46446</v>
      </c>
      <c r="IL1" s="2">
        <f t="shared" si="3"/>
        <v>46447</v>
      </c>
      <c r="IM1" s="2">
        <f t="shared" si="3"/>
        <v>46448</v>
      </c>
      <c r="IN1" s="2">
        <f t="shared" si="3"/>
        <v>46449</v>
      </c>
      <c r="IO1" s="2">
        <f t="shared" si="3"/>
        <v>46450</v>
      </c>
      <c r="IP1" s="2">
        <f t="shared" si="3"/>
        <v>46451</v>
      </c>
      <c r="IQ1" s="2">
        <f t="shared" si="3"/>
        <v>46452</v>
      </c>
      <c r="IR1" s="2">
        <f t="shared" si="3"/>
        <v>46453</v>
      </c>
      <c r="IS1" s="2">
        <f t="shared" si="3"/>
        <v>46454</v>
      </c>
      <c r="IT1" s="2">
        <f t="shared" si="3"/>
        <v>46455</v>
      </c>
      <c r="IU1" s="2">
        <f t="shared" si="3"/>
        <v>46456</v>
      </c>
      <c r="IV1" s="2">
        <f t="shared" si="3"/>
        <v>46457</v>
      </c>
      <c r="IW1" s="2">
        <f t="shared" si="3"/>
        <v>46458</v>
      </c>
      <c r="IX1" s="2">
        <f t="shared" si="3"/>
        <v>46459</v>
      </c>
      <c r="IY1" s="2">
        <f t="shared" si="3"/>
        <v>46460</v>
      </c>
      <c r="IZ1" s="2">
        <f t="shared" si="3"/>
        <v>46461</v>
      </c>
      <c r="JA1" s="2">
        <f t="shared" ref="JA1:LL1" si="4">IZ1+1</f>
        <v>46462</v>
      </c>
      <c r="JB1" s="2">
        <f t="shared" si="4"/>
        <v>46463</v>
      </c>
      <c r="JC1" s="2">
        <f t="shared" si="4"/>
        <v>46464</v>
      </c>
      <c r="JD1" s="2">
        <f t="shared" si="4"/>
        <v>46465</v>
      </c>
      <c r="JE1" s="2">
        <f t="shared" si="4"/>
        <v>46466</v>
      </c>
      <c r="JF1" s="2">
        <f t="shared" si="4"/>
        <v>46467</v>
      </c>
      <c r="JG1" s="2">
        <f t="shared" si="4"/>
        <v>46468</v>
      </c>
      <c r="JH1" s="2">
        <f t="shared" si="4"/>
        <v>46469</v>
      </c>
      <c r="JI1" s="2">
        <f t="shared" si="4"/>
        <v>46470</v>
      </c>
      <c r="JJ1" s="2">
        <f t="shared" si="4"/>
        <v>46471</v>
      </c>
      <c r="JK1" s="2">
        <f t="shared" si="4"/>
        <v>46472</v>
      </c>
      <c r="JL1" s="2">
        <f t="shared" si="4"/>
        <v>46473</v>
      </c>
      <c r="JM1" s="2">
        <f t="shared" si="4"/>
        <v>46474</v>
      </c>
      <c r="JN1" s="2">
        <f t="shared" si="4"/>
        <v>46475</v>
      </c>
      <c r="JO1" s="2">
        <f t="shared" si="4"/>
        <v>46476</v>
      </c>
      <c r="JP1" s="2">
        <f t="shared" si="4"/>
        <v>46477</v>
      </c>
      <c r="JQ1" s="2">
        <f t="shared" si="4"/>
        <v>46478</v>
      </c>
      <c r="JR1" s="2">
        <f t="shared" si="4"/>
        <v>46479</v>
      </c>
      <c r="JS1" s="2">
        <f t="shared" si="4"/>
        <v>46480</v>
      </c>
      <c r="JT1" s="2">
        <f t="shared" si="4"/>
        <v>46481</v>
      </c>
      <c r="JU1" s="2">
        <f t="shared" si="4"/>
        <v>46482</v>
      </c>
      <c r="JV1" s="2">
        <f t="shared" si="4"/>
        <v>46483</v>
      </c>
      <c r="JW1" s="2">
        <f t="shared" si="4"/>
        <v>46484</v>
      </c>
      <c r="JX1" s="2">
        <f t="shared" si="4"/>
        <v>46485</v>
      </c>
      <c r="JY1" s="2">
        <f t="shared" si="4"/>
        <v>46486</v>
      </c>
      <c r="JZ1" s="2">
        <f t="shared" si="4"/>
        <v>46487</v>
      </c>
      <c r="KA1" s="2">
        <f t="shared" si="4"/>
        <v>46488</v>
      </c>
      <c r="KB1" s="2">
        <f t="shared" si="4"/>
        <v>46489</v>
      </c>
      <c r="KC1" s="2">
        <f t="shared" si="4"/>
        <v>46490</v>
      </c>
      <c r="KD1" s="2">
        <f t="shared" si="4"/>
        <v>46491</v>
      </c>
      <c r="KE1" s="2">
        <f t="shared" si="4"/>
        <v>46492</v>
      </c>
      <c r="KF1" s="2">
        <f t="shared" si="4"/>
        <v>46493</v>
      </c>
      <c r="KG1" s="2">
        <f t="shared" si="4"/>
        <v>46494</v>
      </c>
      <c r="KH1" s="2">
        <f t="shared" si="4"/>
        <v>46495</v>
      </c>
      <c r="KI1" s="2">
        <f t="shared" si="4"/>
        <v>46496</v>
      </c>
      <c r="KJ1" s="2">
        <f t="shared" si="4"/>
        <v>46497</v>
      </c>
      <c r="KK1" s="2">
        <f t="shared" si="4"/>
        <v>46498</v>
      </c>
      <c r="KL1" s="2">
        <f t="shared" si="4"/>
        <v>46499</v>
      </c>
      <c r="KM1" s="2">
        <f t="shared" si="4"/>
        <v>46500</v>
      </c>
      <c r="KN1" s="2">
        <f t="shared" si="4"/>
        <v>46501</v>
      </c>
      <c r="KO1" s="2">
        <f t="shared" si="4"/>
        <v>46502</v>
      </c>
      <c r="KP1" s="2">
        <f t="shared" si="4"/>
        <v>46503</v>
      </c>
      <c r="KQ1" s="2">
        <f t="shared" si="4"/>
        <v>46504</v>
      </c>
      <c r="KR1" s="2">
        <f t="shared" si="4"/>
        <v>46505</v>
      </c>
      <c r="KS1" s="2">
        <f t="shared" si="4"/>
        <v>46506</v>
      </c>
      <c r="KT1" s="2">
        <f t="shared" si="4"/>
        <v>46507</v>
      </c>
      <c r="KU1" s="2">
        <f t="shared" si="4"/>
        <v>46508</v>
      </c>
      <c r="KV1" s="2">
        <f t="shared" si="4"/>
        <v>46509</v>
      </c>
      <c r="KW1" s="2">
        <f t="shared" si="4"/>
        <v>46510</v>
      </c>
      <c r="KX1" s="2">
        <f t="shared" si="4"/>
        <v>46511</v>
      </c>
      <c r="KY1" s="2">
        <f t="shared" si="4"/>
        <v>46512</v>
      </c>
      <c r="KZ1" s="2">
        <f t="shared" si="4"/>
        <v>46513</v>
      </c>
      <c r="LA1" s="2">
        <f t="shared" si="4"/>
        <v>46514</v>
      </c>
      <c r="LB1" s="2">
        <f t="shared" si="4"/>
        <v>46515</v>
      </c>
      <c r="LC1" s="2">
        <f t="shared" si="4"/>
        <v>46516</v>
      </c>
      <c r="LD1" s="2">
        <f t="shared" si="4"/>
        <v>46517</v>
      </c>
      <c r="LE1" s="2">
        <f t="shared" si="4"/>
        <v>46518</v>
      </c>
      <c r="LF1" s="2">
        <f t="shared" si="4"/>
        <v>46519</v>
      </c>
      <c r="LG1" s="2">
        <f t="shared" si="4"/>
        <v>46520</v>
      </c>
      <c r="LH1" s="2">
        <f t="shared" si="4"/>
        <v>46521</v>
      </c>
      <c r="LI1" s="2">
        <f t="shared" si="4"/>
        <v>46522</v>
      </c>
      <c r="LJ1" s="2">
        <f t="shared" si="4"/>
        <v>46523</v>
      </c>
      <c r="LK1" s="2">
        <f t="shared" si="4"/>
        <v>46524</v>
      </c>
      <c r="LL1" s="2">
        <f t="shared" si="4"/>
        <v>46525</v>
      </c>
      <c r="LM1" s="2">
        <f t="shared" ref="LM1:NC1" si="5">LL1+1</f>
        <v>46526</v>
      </c>
      <c r="LN1" s="2">
        <f t="shared" si="5"/>
        <v>46527</v>
      </c>
      <c r="LO1" s="2">
        <f t="shared" si="5"/>
        <v>46528</v>
      </c>
      <c r="LP1" s="2">
        <f t="shared" si="5"/>
        <v>46529</v>
      </c>
      <c r="LQ1" s="2">
        <f t="shared" si="5"/>
        <v>46530</v>
      </c>
      <c r="LR1" s="2">
        <f t="shared" si="5"/>
        <v>46531</v>
      </c>
      <c r="LS1" s="2">
        <f t="shared" si="5"/>
        <v>46532</v>
      </c>
      <c r="LT1" s="2">
        <f t="shared" si="5"/>
        <v>46533</v>
      </c>
      <c r="LU1" s="2">
        <f t="shared" si="5"/>
        <v>46534</v>
      </c>
      <c r="LV1" s="2">
        <f t="shared" si="5"/>
        <v>46535</v>
      </c>
      <c r="LW1" s="2">
        <f t="shared" si="5"/>
        <v>46536</v>
      </c>
      <c r="LX1" s="2">
        <f t="shared" si="5"/>
        <v>46537</v>
      </c>
      <c r="LY1" s="2">
        <f t="shared" si="5"/>
        <v>46538</v>
      </c>
      <c r="LZ1" s="2">
        <f t="shared" si="5"/>
        <v>46539</v>
      </c>
      <c r="MA1" s="2">
        <f t="shared" si="5"/>
        <v>46540</v>
      </c>
      <c r="MB1" s="2">
        <f t="shared" si="5"/>
        <v>46541</v>
      </c>
      <c r="MC1" s="2">
        <f t="shared" si="5"/>
        <v>46542</v>
      </c>
      <c r="MD1" s="2">
        <f t="shared" si="5"/>
        <v>46543</v>
      </c>
      <c r="ME1" s="2">
        <f t="shared" si="5"/>
        <v>46544</v>
      </c>
      <c r="MF1" s="2">
        <f t="shared" si="5"/>
        <v>46545</v>
      </c>
      <c r="MG1" s="2">
        <f t="shared" si="5"/>
        <v>46546</v>
      </c>
      <c r="MH1" s="2">
        <f t="shared" si="5"/>
        <v>46547</v>
      </c>
      <c r="MI1" s="2">
        <f t="shared" si="5"/>
        <v>46548</v>
      </c>
      <c r="MJ1" s="2">
        <f t="shared" si="5"/>
        <v>46549</v>
      </c>
      <c r="MK1" s="2">
        <f t="shared" si="5"/>
        <v>46550</v>
      </c>
      <c r="ML1" s="2">
        <f t="shared" si="5"/>
        <v>46551</v>
      </c>
      <c r="MM1" s="2">
        <f t="shared" si="5"/>
        <v>46552</v>
      </c>
      <c r="MN1" s="2">
        <f t="shared" si="5"/>
        <v>46553</v>
      </c>
      <c r="MO1" s="2">
        <f t="shared" si="5"/>
        <v>46554</v>
      </c>
      <c r="MP1" s="2">
        <f t="shared" si="5"/>
        <v>46555</v>
      </c>
      <c r="MQ1" s="2">
        <f t="shared" si="5"/>
        <v>46556</v>
      </c>
      <c r="MR1" s="2">
        <f t="shared" si="5"/>
        <v>46557</v>
      </c>
      <c r="MS1" s="2">
        <f t="shared" si="5"/>
        <v>46558</v>
      </c>
      <c r="MT1" s="2">
        <f t="shared" si="5"/>
        <v>46559</v>
      </c>
      <c r="MU1" s="2">
        <f t="shared" si="5"/>
        <v>46560</v>
      </c>
      <c r="MV1" s="2">
        <f t="shared" si="5"/>
        <v>46561</v>
      </c>
      <c r="MW1" s="2">
        <f t="shared" si="5"/>
        <v>46562</v>
      </c>
      <c r="MX1" s="2">
        <f t="shared" si="5"/>
        <v>46563</v>
      </c>
      <c r="MY1" s="2">
        <f t="shared" si="5"/>
        <v>46564</v>
      </c>
      <c r="MZ1" s="2">
        <f t="shared" si="5"/>
        <v>46565</v>
      </c>
      <c r="NA1" s="2">
        <f t="shared" si="5"/>
        <v>46566</v>
      </c>
      <c r="NB1" s="2">
        <f t="shared" si="5"/>
        <v>46567</v>
      </c>
      <c r="NC1" s="2">
        <f t="shared" si="5"/>
        <v>46568</v>
      </c>
      <c r="ND1" s="2"/>
    </row>
    <row r="2" spans="1:369">
      <c r="B2" s="1" t="s">
        <v>1</v>
      </c>
      <c r="C2" t="str">
        <f>TEXT(C1, "dddd")</f>
        <v>Wednesday</v>
      </c>
      <c r="D2" t="str">
        <f t="shared" ref="D2:BO2" si="6">TEXT(D1, "dddd")</f>
        <v>Thursday</v>
      </c>
      <c r="E2" t="str">
        <f t="shared" si="6"/>
        <v>Friday</v>
      </c>
      <c r="F2" t="str">
        <f t="shared" si="6"/>
        <v>Saturday</v>
      </c>
      <c r="G2" t="str">
        <f t="shared" si="6"/>
        <v>Sunday</v>
      </c>
      <c r="H2" t="str">
        <f t="shared" si="6"/>
        <v>Monday</v>
      </c>
      <c r="I2" t="str">
        <f t="shared" si="6"/>
        <v>Tuesday</v>
      </c>
      <c r="J2" t="str">
        <f t="shared" si="6"/>
        <v>Wednesday</v>
      </c>
      <c r="K2" t="str">
        <f t="shared" si="6"/>
        <v>Thursday</v>
      </c>
      <c r="L2" t="str">
        <f t="shared" si="6"/>
        <v>Friday</v>
      </c>
      <c r="M2" t="str">
        <f t="shared" si="6"/>
        <v>Saturday</v>
      </c>
      <c r="N2" t="str">
        <f t="shared" si="6"/>
        <v>Sunday</v>
      </c>
      <c r="O2" t="str">
        <f t="shared" si="6"/>
        <v>Monday</v>
      </c>
      <c r="P2" t="str">
        <f t="shared" si="6"/>
        <v>Tuesday</v>
      </c>
      <c r="Q2" t="str">
        <f t="shared" si="6"/>
        <v>Wednesday</v>
      </c>
      <c r="R2" t="str">
        <f t="shared" si="6"/>
        <v>Thursday</v>
      </c>
      <c r="S2" t="str">
        <f t="shared" si="6"/>
        <v>Friday</v>
      </c>
      <c r="T2" t="str">
        <f t="shared" si="6"/>
        <v>Saturday</v>
      </c>
      <c r="U2" t="str">
        <f t="shared" si="6"/>
        <v>Sunday</v>
      </c>
      <c r="V2" t="str">
        <f t="shared" si="6"/>
        <v>Monday</v>
      </c>
      <c r="W2" t="str">
        <f t="shared" si="6"/>
        <v>Tuesday</v>
      </c>
      <c r="X2" t="str">
        <f t="shared" si="6"/>
        <v>Wednesday</v>
      </c>
      <c r="Y2" t="str">
        <f t="shared" si="6"/>
        <v>Thursday</v>
      </c>
      <c r="Z2" t="str">
        <f t="shared" si="6"/>
        <v>Friday</v>
      </c>
      <c r="AA2" t="str">
        <f t="shared" si="6"/>
        <v>Saturday</v>
      </c>
      <c r="AB2" t="str">
        <f t="shared" si="6"/>
        <v>Sunday</v>
      </c>
      <c r="AC2" t="str">
        <f t="shared" si="6"/>
        <v>Monday</v>
      </c>
      <c r="AD2" t="str">
        <f t="shared" si="6"/>
        <v>Tuesday</v>
      </c>
      <c r="AE2" t="str">
        <f t="shared" si="6"/>
        <v>Wednesday</v>
      </c>
      <c r="AF2" t="str">
        <f t="shared" si="6"/>
        <v>Thursday</v>
      </c>
      <c r="AG2" t="str">
        <f t="shared" si="6"/>
        <v>Friday</v>
      </c>
      <c r="AH2" t="str">
        <f t="shared" si="6"/>
        <v>Saturday</v>
      </c>
      <c r="AI2" t="str">
        <f t="shared" si="6"/>
        <v>Sunday</v>
      </c>
      <c r="AJ2" t="str">
        <f t="shared" si="6"/>
        <v>Monday</v>
      </c>
      <c r="AK2" t="str">
        <f t="shared" si="6"/>
        <v>Tuesday</v>
      </c>
      <c r="AL2" t="str">
        <f t="shared" si="6"/>
        <v>Wednesday</v>
      </c>
      <c r="AM2" t="str">
        <f t="shared" si="6"/>
        <v>Thursday</v>
      </c>
      <c r="AN2" t="str">
        <f t="shared" si="6"/>
        <v>Friday</v>
      </c>
      <c r="AO2" t="str">
        <f t="shared" si="6"/>
        <v>Saturday</v>
      </c>
      <c r="AP2" t="str">
        <f t="shared" si="6"/>
        <v>Sunday</v>
      </c>
      <c r="AQ2" t="str">
        <f t="shared" si="6"/>
        <v>Monday</v>
      </c>
      <c r="AR2" t="str">
        <f t="shared" si="6"/>
        <v>Tuesday</v>
      </c>
      <c r="AS2" t="str">
        <f t="shared" si="6"/>
        <v>Wednesday</v>
      </c>
      <c r="AT2" t="str">
        <f t="shared" si="6"/>
        <v>Thursday</v>
      </c>
      <c r="AU2" t="str">
        <f t="shared" si="6"/>
        <v>Friday</v>
      </c>
      <c r="AV2" t="str">
        <f t="shared" si="6"/>
        <v>Saturday</v>
      </c>
      <c r="AW2" t="str">
        <f t="shared" si="6"/>
        <v>Sunday</v>
      </c>
      <c r="AX2" t="str">
        <f t="shared" si="6"/>
        <v>Monday</v>
      </c>
      <c r="AY2" t="str">
        <f t="shared" si="6"/>
        <v>Tuesday</v>
      </c>
      <c r="AZ2" t="str">
        <f t="shared" si="6"/>
        <v>Wednesday</v>
      </c>
      <c r="BA2" t="str">
        <f t="shared" si="6"/>
        <v>Thursday</v>
      </c>
      <c r="BB2" t="str">
        <f t="shared" si="6"/>
        <v>Friday</v>
      </c>
      <c r="BC2" t="str">
        <f t="shared" si="6"/>
        <v>Saturday</v>
      </c>
      <c r="BD2" t="str">
        <f t="shared" si="6"/>
        <v>Sunday</v>
      </c>
      <c r="BE2" t="str">
        <f t="shared" si="6"/>
        <v>Monday</v>
      </c>
      <c r="BF2" t="str">
        <f t="shared" si="6"/>
        <v>Tuesday</v>
      </c>
      <c r="BG2" t="str">
        <f t="shared" si="6"/>
        <v>Wednesday</v>
      </c>
      <c r="BH2" t="str">
        <f t="shared" si="6"/>
        <v>Thursday</v>
      </c>
      <c r="BI2" t="str">
        <f t="shared" si="6"/>
        <v>Friday</v>
      </c>
      <c r="BJ2" t="str">
        <f t="shared" si="6"/>
        <v>Saturday</v>
      </c>
      <c r="BK2" t="str">
        <f t="shared" si="6"/>
        <v>Sunday</v>
      </c>
      <c r="BL2" t="str">
        <f t="shared" si="6"/>
        <v>Monday</v>
      </c>
      <c r="BM2" t="str">
        <f t="shared" si="6"/>
        <v>Tuesday</v>
      </c>
      <c r="BN2" t="str">
        <f t="shared" si="6"/>
        <v>Wednesday</v>
      </c>
      <c r="BO2" t="str">
        <f t="shared" si="6"/>
        <v>Thursday</v>
      </c>
      <c r="BP2" t="str">
        <f t="shared" ref="BP2:EA2" si="7">TEXT(BP1, "dddd")</f>
        <v>Friday</v>
      </c>
      <c r="BQ2" t="str">
        <f t="shared" si="7"/>
        <v>Saturday</v>
      </c>
      <c r="BR2" t="str">
        <f t="shared" si="7"/>
        <v>Sunday</v>
      </c>
      <c r="BS2" t="str">
        <f t="shared" si="7"/>
        <v>Monday</v>
      </c>
      <c r="BT2" t="str">
        <f t="shared" si="7"/>
        <v>Tuesday</v>
      </c>
      <c r="BU2" t="str">
        <f t="shared" si="7"/>
        <v>Wednesday</v>
      </c>
      <c r="BV2" t="str">
        <f t="shared" si="7"/>
        <v>Thursday</v>
      </c>
      <c r="BW2" t="str">
        <f t="shared" si="7"/>
        <v>Friday</v>
      </c>
      <c r="BX2" t="str">
        <f t="shared" si="7"/>
        <v>Saturday</v>
      </c>
      <c r="BY2" t="str">
        <f t="shared" si="7"/>
        <v>Sunday</v>
      </c>
      <c r="BZ2" t="str">
        <f t="shared" si="7"/>
        <v>Monday</v>
      </c>
      <c r="CA2" t="str">
        <f t="shared" si="7"/>
        <v>Tuesday</v>
      </c>
      <c r="CB2" t="str">
        <f t="shared" si="7"/>
        <v>Wednesday</v>
      </c>
      <c r="CC2" t="str">
        <f t="shared" si="7"/>
        <v>Thursday</v>
      </c>
      <c r="CD2" t="str">
        <f t="shared" si="7"/>
        <v>Friday</v>
      </c>
      <c r="CE2" t="str">
        <f t="shared" si="7"/>
        <v>Saturday</v>
      </c>
      <c r="CF2" t="str">
        <f t="shared" si="7"/>
        <v>Sunday</v>
      </c>
      <c r="CG2" t="str">
        <f t="shared" si="7"/>
        <v>Monday</v>
      </c>
      <c r="CH2" t="str">
        <f t="shared" si="7"/>
        <v>Tuesday</v>
      </c>
      <c r="CI2" t="str">
        <f t="shared" si="7"/>
        <v>Wednesday</v>
      </c>
      <c r="CJ2" t="str">
        <f t="shared" si="7"/>
        <v>Thursday</v>
      </c>
      <c r="CK2" t="str">
        <f t="shared" si="7"/>
        <v>Friday</v>
      </c>
      <c r="CL2" t="str">
        <f t="shared" si="7"/>
        <v>Saturday</v>
      </c>
      <c r="CM2" t="str">
        <f t="shared" si="7"/>
        <v>Sunday</v>
      </c>
      <c r="CN2" t="str">
        <f t="shared" si="7"/>
        <v>Monday</v>
      </c>
      <c r="CO2" t="str">
        <f t="shared" si="7"/>
        <v>Tuesday</v>
      </c>
      <c r="CP2" t="str">
        <f t="shared" si="7"/>
        <v>Wednesday</v>
      </c>
      <c r="CQ2" t="str">
        <f t="shared" si="7"/>
        <v>Thursday</v>
      </c>
      <c r="CR2" t="str">
        <f t="shared" si="7"/>
        <v>Friday</v>
      </c>
      <c r="CS2" t="str">
        <f t="shared" si="7"/>
        <v>Saturday</v>
      </c>
      <c r="CT2" t="str">
        <f t="shared" si="7"/>
        <v>Sunday</v>
      </c>
      <c r="CU2" t="str">
        <f t="shared" si="7"/>
        <v>Monday</v>
      </c>
      <c r="CV2" t="str">
        <f t="shared" si="7"/>
        <v>Tuesday</v>
      </c>
      <c r="CW2" t="str">
        <f t="shared" si="7"/>
        <v>Wednesday</v>
      </c>
      <c r="CX2" t="str">
        <f t="shared" si="7"/>
        <v>Thursday</v>
      </c>
      <c r="CY2" t="str">
        <f t="shared" si="7"/>
        <v>Friday</v>
      </c>
      <c r="CZ2" t="str">
        <f t="shared" si="7"/>
        <v>Saturday</v>
      </c>
      <c r="DA2" t="str">
        <f t="shared" si="7"/>
        <v>Sunday</v>
      </c>
      <c r="DB2" t="str">
        <f t="shared" si="7"/>
        <v>Monday</v>
      </c>
      <c r="DC2" t="str">
        <f t="shared" si="7"/>
        <v>Tuesday</v>
      </c>
      <c r="DD2" t="str">
        <f t="shared" si="7"/>
        <v>Wednesday</v>
      </c>
      <c r="DE2" t="str">
        <f t="shared" si="7"/>
        <v>Thursday</v>
      </c>
      <c r="DF2" t="str">
        <f t="shared" si="7"/>
        <v>Friday</v>
      </c>
      <c r="DG2" t="str">
        <f t="shared" si="7"/>
        <v>Saturday</v>
      </c>
      <c r="DH2" t="str">
        <f t="shared" si="7"/>
        <v>Sunday</v>
      </c>
      <c r="DI2" t="str">
        <f t="shared" si="7"/>
        <v>Monday</v>
      </c>
      <c r="DJ2" t="str">
        <f t="shared" si="7"/>
        <v>Tuesday</v>
      </c>
      <c r="DK2" t="str">
        <f t="shared" si="7"/>
        <v>Wednesday</v>
      </c>
      <c r="DL2" t="str">
        <f t="shared" si="7"/>
        <v>Thursday</v>
      </c>
      <c r="DM2" t="str">
        <f t="shared" si="7"/>
        <v>Friday</v>
      </c>
      <c r="DN2" t="str">
        <f t="shared" si="7"/>
        <v>Saturday</v>
      </c>
      <c r="DO2" t="str">
        <f t="shared" si="7"/>
        <v>Sunday</v>
      </c>
      <c r="DP2" t="str">
        <f t="shared" si="7"/>
        <v>Monday</v>
      </c>
      <c r="DQ2" t="str">
        <f t="shared" si="7"/>
        <v>Tuesday</v>
      </c>
      <c r="DR2" t="str">
        <f t="shared" si="7"/>
        <v>Wednesday</v>
      </c>
      <c r="DS2" t="str">
        <f t="shared" si="7"/>
        <v>Thursday</v>
      </c>
      <c r="DT2" t="str">
        <f t="shared" si="7"/>
        <v>Friday</v>
      </c>
      <c r="DU2" t="str">
        <f t="shared" si="7"/>
        <v>Saturday</v>
      </c>
      <c r="DV2" t="str">
        <f t="shared" si="7"/>
        <v>Sunday</v>
      </c>
      <c r="DW2" t="str">
        <f t="shared" si="7"/>
        <v>Monday</v>
      </c>
      <c r="DX2" t="str">
        <f t="shared" si="7"/>
        <v>Tuesday</v>
      </c>
      <c r="DY2" t="str">
        <f t="shared" si="7"/>
        <v>Wednesday</v>
      </c>
      <c r="DZ2" t="str">
        <f t="shared" si="7"/>
        <v>Thursday</v>
      </c>
      <c r="EA2" t="str">
        <f t="shared" si="7"/>
        <v>Friday</v>
      </c>
      <c r="EB2" t="str">
        <f t="shared" ref="EB2:GM2" si="8">TEXT(EB1, "dddd")</f>
        <v>Saturday</v>
      </c>
      <c r="EC2" t="str">
        <f t="shared" si="8"/>
        <v>Sunday</v>
      </c>
      <c r="ED2" t="str">
        <f t="shared" si="8"/>
        <v>Monday</v>
      </c>
      <c r="EE2" t="str">
        <f t="shared" si="8"/>
        <v>Tuesday</v>
      </c>
      <c r="EF2" t="str">
        <f t="shared" si="8"/>
        <v>Wednesday</v>
      </c>
      <c r="EG2" t="str">
        <f t="shared" si="8"/>
        <v>Thursday</v>
      </c>
      <c r="EH2" t="str">
        <f t="shared" si="8"/>
        <v>Friday</v>
      </c>
      <c r="EI2" t="str">
        <f t="shared" si="8"/>
        <v>Saturday</v>
      </c>
      <c r="EJ2" t="str">
        <f t="shared" si="8"/>
        <v>Sunday</v>
      </c>
      <c r="EK2" t="str">
        <f t="shared" si="8"/>
        <v>Monday</v>
      </c>
      <c r="EL2" t="str">
        <f t="shared" si="8"/>
        <v>Tuesday</v>
      </c>
      <c r="EM2" t="str">
        <f t="shared" si="8"/>
        <v>Wednesday</v>
      </c>
      <c r="EN2" t="str">
        <f t="shared" si="8"/>
        <v>Thursday</v>
      </c>
      <c r="EO2" t="str">
        <f t="shared" si="8"/>
        <v>Friday</v>
      </c>
      <c r="EP2" t="str">
        <f t="shared" si="8"/>
        <v>Saturday</v>
      </c>
      <c r="EQ2" t="str">
        <f t="shared" si="8"/>
        <v>Sunday</v>
      </c>
      <c r="ER2" s="12" t="str">
        <f t="shared" si="8"/>
        <v>Monday</v>
      </c>
      <c r="ES2" s="12" t="str">
        <f t="shared" si="8"/>
        <v>Tuesday</v>
      </c>
      <c r="ET2" s="12" t="str">
        <f t="shared" si="8"/>
        <v>Wednesday</v>
      </c>
      <c r="EU2" s="12" t="str">
        <f t="shared" si="8"/>
        <v>Thursday</v>
      </c>
      <c r="EV2" s="12" t="str">
        <f t="shared" si="8"/>
        <v>Friday</v>
      </c>
      <c r="EW2" s="12" t="str">
        <f t="shared" si="8"/>
        <v>Saturday</v>
      </c>
      <c r="EX2" s="12" t="str">
        <f t="shared" si="8"/>
        <v>Sunday</v>
      </c>
      <c r="EY2" t="str">
        <f t="shared" si="8"/>
        <v>Monday</v>
      </c>
      <c r="EZ2" t="str">
        <f t="shared" si="8"/>
        <v>Tuesday</v>
      </c>
      <c r="FA2" t="str">
        <f t="shared" si="8"/>
        <v>Wednesday</v>
      </c>
      <c r="FB2" t="str">
        <f t="shared" si="8"/>
        <v>Thursday</v>
      </c>
      <c r="FC2" t="str">
        <f t="shared" si="8"/>
        <v>Friday</v>
      </c>
      <c r="FD2" t="str">
        <f t="shared" si="8"/>
        <v>Saturday</v>
      </c>
      <c r="FE2" t="str">
        <f t="shared" si="8"/>
        <v>Sunday</v>
      </c>
      <c r="FF2" t="str">
        <f t="shared" si="8"/>
        <v>Monday</v>
      </c>
      <c r="FG2" t="str">
        <f t="shared" si="8"/>
        <v>Tuesday</v>
      </c>
      <c r="FH2" t="str">
        <f t="shared" si="8"/>
        <v>Wednesday</v>
      </c>
      <c r="FI2" t="str">
        <f t="shared" si="8"/>
        <v>Thursday</v>
      </c>
      <c r="FJ2" t="str">
        <f t="shared" si="8"/>
        <v>Friday</v>
      </c>
      <c r="FK2" t="str">
        <f t="shared" si="8"/>
        <v>Saturday</v>
      </c>
      <c r="FL2" t="str">
        <f t="shared" si="8"/>
        <v>Sunday</v>
      </c>
      <c r="FM2" t="str">
        <f t="shared" si="8"/>
        <v>Monday</v>
      </c>
      <c r="FN2" t="str">
        <f t="shared" si="8"/>
        <v>Tuesday</v>
      </c>
      <c r="FO2" t="str">
        <f t="shared" si="8"/>
        <v>Wednesday</v>
      </c>
      <c r="FP2" t="str">
        <f t="shared" si="8"/>
        <v>Thursday</v>
      </c>
      <c r="FQ2" t="str">
        <f t="shared" si="8"/>
        <v>Friday</v>
      </c>
      <c r="FR2" t="str">
        <f t="shared" si="8"/>
        <v>Saturday</v>
      </c>
      <c r="FS2" t="str">
        <f t="shared" si="8"/>
        <v>Sunday</v>
      </c>
      <c r="FT2" s="12" t="str">
        <f t="shared" si="8"/>
        <v>Monday</v>
      </c>
      <c r="FU2" s="12" t="str">
        <f t="shared" si="8"/>
        <v>Tuesday</v>
      </c>
      <c r="FV2" s="12" t="str">
        <f t="shared" si="8"/>
        <v>Wednesday</v>
      </c>
      <c r="FW2" s="12" t="str">
        <f t="shared" si="8"/>
        <v>Thursday</v>
      </c>
      <c r="FX2" s="12" t="str">
        <f t="shared" si="8"/>
        <v>Friday</v>
      </c>
      <c r="FY2" s="12" t="str">
        <f t="shared" si="8"/>
        <v>Saturday</v>
      </c>
      <c r="FZ2" s="12" t="str">
        <f t="shared" si="8"/>
        <v>Sunday</v>
      </c>
      <c r="GA2" s="12" t="str">
        <f t="shared" si="8"/>
        <v>Monday</v>
      </c>
      <c r="GB2" s="12" t="str">
        <f t="shared" si="8"/>
        <v>Tuesday</v>
      </c>
      <c r="GC2" s="12" t="str">
        <f t="shared" si="8"/>
        <v>Wednesday</v>
      </c>
      <c r="GD2" s="12" t="str">
        <f t="shared" si="8"/>
        <v>Thursday</v>
      </c>
      <c r="GE2" s="12" t="str">
        <f t="shared" si="8"/>
        <v>Friday</v>
      </c>
      <c r="GF2" s="12" t="str">
        <f t="shared" si="8"/>
        <v>Saturday</v>
      </c>
      <c r="GG2" s="12" t="str">
        <f t="shared" si="8"/>
        <v>Sunday</v>
      </c>
      <c r="GH2" t="str">
        <f t="shared" si="8"/>
        <v>Monday</v>
      </c>
      <c r="GI2" t="str">
        <f t="shared" si="8"/>
        <v>Tuesday</v>
      </c>
      <c r="GJ2" t="str">
        <f t="shared" si="8"/>
        <v>Wednesday</v>
      </c>
      <c r="GK2" t="str">
        <f t="shared" si="8"/>
        <v>Thursday</v>
      </c>
      <c r="GL2" t="str">
        <f t="shared" si="8"/>
        <v>Friday</v>
      </c>
      <c r="GM2" t="str">
        <f t="shared" si="8"/>
        <v>Saturday</v>
      </c>
      <c r="GN2" t="str">
        <f t="shared" ref="GN2:IY2" si="9">TEXT(GN1, "dddd")</f>
        <v>Sunday</v>
      </c>
      <c r="GO2" t="str">
        <f t="shared" si="9"/>
        <v>Monday</v>
      </c>
      <c r="GP2" t="str">
        <f t="shared" si="9"/>
        <v>Tuesday</v>
      </c>
      <c r="GQ2" t="str">
        <f t="shared" si="9"/>
        <v>Wednesday</v>
      </c>
      <c r="GR2" t="str">
        <f t="shared" si="9"/>
        <v>Thursday</v>
      </c>
      <c r="GS2" t="str">
        <f t="shared" si="9"/>
        <v>Friday</v>
      </c>
      <c r="GT2" t="str">
        <f t="shared" si="9"/>
        <v>Saturday</v>
      </c>
      <c r="GU2" t="str">
        <f t="shared" si="9"/>
        <v>Sunday</v>
      </c>
      <c r="GV2" t="str">
        <f t="shared" si="9"/>
        <v>Monday</v>
      </c>
      <c r="GW2" t="str">
        <f t="shared" si="9"/>
        <v>Tuesday</v>
      </c>
      <c r="GX2" t="str">
        <f t="shared" si="9"/>
        <v>Wednesday</v>
      </c>
      <c r="GY2" t="str">
        <f t="shared" si="9"/>
        <v>Thursday</v>
      </c>
      <c r="GZ2" t="str">
        <f t="shared" si="9"/>
        <v>Friday</v>
      </c>
      <c r="HA2" t="str">
        <f t="shared" si="9"/>
        <v>Saturday</v>
      </c>
      <c r="HB2" t="str">
        <f t="shared" si="9"/>
        <v>Sunday</v>
      </c>
      <c r="HC2" t="str">
        <f t="shared" si="9"/>
        <v>Monday</v>
      </c>
      <c r="HD2" t="str">
        <f t="shared" si="9"/>
        <v>Tuesday</v>
      </c>
      <c r="HE2" t="str">
        <f t="shared" si="9"/>
        <v>Wednesday</v>
      </c>
      <c r="HF2" t="str">
        <f t="shared" si="9"/>
        <v>Thursday</v>
      </c>
      <c r="HG2" t="str">
        <f t="shared" si="9"/>
        <v>Friday</v>
      </c>
      <c r="HH2" t="str">
        <f t="shared" si="9"/>
        <v>Saturday</v>
      </c>
      <c r="HI2" t="str">
        <f t="shared" si="9"/>
        <v>Sunday</v>
      </c>
      <c r="HJ2" t="str">
        <f t="shared" si="9"/>
        <v>Monday</v>
      </c>
      <c r="HK2" t="str">
        <f t="shared" si="9"/>
        <v>Tuesday</v>
      </c>
      <c r="HL2" t="str">
        <f t="shared" si="9"/>
        <v>Wednesday</v>
      </c>
      <c r="HM2" t="str">
        <f t="shared" si="9"/>
        <v>Thursday</v>
      </c>
      <c r="HN2" t="str">
        <f t="shared" si="9"/>
        <v>Friday</v>
      </c>
      <c r="HO2" t="str">
        <f t="shared" si="9"/>
        <v>Saturday</v>
      </c>
      <c r="HP2" t="str">
        <f t="shared" si="9"/>
        <v>Sunday</v>
      </c>
      <c r="HQ2" t="str">
        <f t="shared" si="9"/>
        <v>Monday</v>
      </c>
      <c r="HR2" t="str">
        <f t="shared" si="9"/>
        <v>Tuesday</v>
      </c>
      <c r="HS2" t="str">
        <f t="shared" si="9"/>
        <v>Wednesday</v>
      </c>
      <c r="HT2" t="str">
        <f t="shared" si="9"/>
        <v>Thursday</v>
      </c>
      <c r="HU2" t="str">
        <f t="shared" si="9"/>
        <v>Friday</v>
      </c>
      <c r="HV2" t="str">
        <f t="shared" si="9"/>
        <v>Saturday</v>
      </c>
      <c r="HW2" t="str">
        <f t="shared" si="9"/>
        <v>Sunday</v>
      </c>
      <c r="HX2" t="str">
        <f t="shared" si="9"/>
        <v>Monday</v>
      </c>
      <c r="HY2" t="str">
        <f t="shared" si="9"/>
        <v>Tuesday</v>
      </c>
      <c r="HZ2" t="str">
        <f t="shared" si="9"/>
        <v>Wednesday</v>
      </c>
      <c r="IA2" t="str">
        <f t="shared" si="9"/>
        <v>Thursday</v>
      </c>
      <c r="IB2" t="str">
        <f t="shared" si="9"/>
        <v>Friday</v>
      </c>
      <c r="IC2" t="str">
        <f t="shared" si="9"/>
        <v>Saturday</v>
      </c>
      <c r="ID2" t="str">
        <f t="shared" si="9"/>
        <v>Sunday</v>
      </c>
      <c r="IE2" t="str">
        <f t="shared" si="9"/>
        <v>Monday</v>
      </c>
      <c r="IF2" t="str">
        <f t="shared" si="9"/>
        <v>Tuesday</v>
      </c>
      <c r="IG2" t="str">
        <f t="shared" si="9"/>
        <v>Wednesday</v>
      </c>
      <c r="IH2" t="str">
        <f t="shared" si="9"/>
        <v>Thursday</v>
      </c>
      <c r="II2" t="str">
        <f t="shared" si="9"/>
        <v>Friday</v>
      </c>
      <c r="IJ2" t="str">
        <f t="shared" si="9"/>
        <v>Saturday</v>
      </c>
      <c r="IK2" t="str">
        <f t="shared" si="9"/>
        <v>Sunday</v>
      </c>
      <c r="IL2" t="str">
        <f t="shared" si="9"/>
        <v>Monday</v>
      </c>
      <c r="IM2" t="str">
        <f t="shared" si="9"/>
        <v>Tuesday</v>
      </c>
      <c r="IN2" t="str">
        <f t="shared" si="9"/>
        <v>Wednesday</v>
      </c>
      <c r="IO2" t="str">
        <f t="shared" si="9"/>
        <v>Thursday</v>
      </c>
      <c r="IP2" t="str">
        <f t="shared" si="9"/>
        <v>Friday</v>
      </c>
      <c r="IQ2" t="str">
        <f t="shared" si="9"/>
        <v>Saturday</v>
      </c>
      <c r="IR2" t="str">
        <f t="shared" si="9"/>
        <v>Sunday</v>
      </c>
      <c r="IS2" t="str">
        <f t="shared" si="9"/>
        <v>Monday</v>
      </c>
      <c r="IT2" t="str">
        <f t="shared" si="9"/>
        <v>Tuesday</v>
      </c>
      <c r="IU2" t="str">
        <f t="shared" si="9"/>
        <v>Wednesday</v>
      </c>
      <c r="IV2" t="str">
        <f t="shared" si="9"/>
        <v>Thursday</v>
      </c>
      <c r="IW2" t="str">
        <f t="shared" si="9"/>
        <v>Friday</v>
      </c>
      <c r="IX2" t="str">
        <f t="shared" si="9"/>
        <v>Saturday</v>
      </c>
      <c r="IY2" t="str">
        <f t="shared" si="9"/>
        <v>Sunday</v>
      </c>
      <c r="IZ2" t="str">
        <f t="shared" ref="IZ2:LK2" si="10">TEXT(IZ1, "dddd")</f>
        <v>Monday</v>
      </c>
      <c r="JA2" t="str">
        <f t="shared" si="10"/>
        <v>Tuesday</v>
      </c>
      <c r="JB2" t="str">
        <f t="shared" si="10"/>
        <v>Wednesday</v>
      </c>
      <c r="JC2" t="str">
        <f t="shared" si="10"/>
        <v>Thursday</v>
      </c>
      <c r="JD2" t="str">
        <f t="shared" si="10"/>
        <v>Friday</v>
      </c>
      <c r="JE2" t="str">
        <f t="shared" si="10"/>
        <v>Saturday</v>
      </c>
      <c r="JF2" t="str">
        <f t="shared" si="10"/>
        <v>Sunday</v>
      </c>
      <c r="JG2" t="str">
        <f t="shared" si="10"/>
        <v>Monday</v>
      </c>
      <c r="JH2" t="str">
        <f t="shared" si="10"/>
        <v>Tuesday</v>
      </c>
      <c r="JI2" t="str">
        <f t="shared" si="10"/>
        <v>Wednesday</v>
      </c>
      <c r="JJ2" t="str">
        <f t="shared" si="10"/>
        <v>Thursday</v>
      </c>
      <c r="JK2" t="str">
        <f t="shared" si="10"/>
        <v>Friday</v>
      </c>
      <c r="JL2" t="str">
        <f t="shared" si="10"/>
        <v>Saturday</v>
      </c>
      <c r="JM2" t="str">
        <f t="shared" si="10"/>
        <v>Sunday</v>
      </c>
      <c r="JN2" t="str">
        <f t="shared" si="10"/>
        <v>Monday</v>
      </c>
      <c r="JO2" t="str">
        <f t="shared" si="10"/>
        <v>Tuesday</v>
      </c>
      <c r="JP2" t="str">
        <f t="shared" si="10"/>
        <v>Wednesday</v>
      </c>
      <c r="JQ2" t="str">
        <f t="shared" si="10"/>
        <v>Thursday</v>
      </c>
      <c r="JR2" t="str">
        <f t="shared" si="10"/>
        <v>Friday</v>
      </c>
      <c r="JS2" t="str">
        <f t="shared" si="10"/>
        <v>Saturday</v>
      </c>
      <c r="JT2" t="str">
        <f t="shared" si="10"/>
        <v>Sunday</v>
      </c>
      <c r="JU2" t="str">
        <f t="shared" si="10"/>
        <v>Monday</v>
      </c>
      <c r="JV2" t="str">
        <f t="shared" si="10"/>
        <v>Tuesday</v>
      </c>
      <c r="JW2" t="str">
        <f t="shared" si="10"/>
        <v>Wednesday</v>
      </c>
      <c r="JX2" t="str">
        <f t="shared" si="10"/>
        <v>Thursday</v>
      </c>
      <c r="JY2" t="str">
        <f t="shared" si="10"/>
        <v>Friday</v>
      </c>
      <c r="JZ2" t="str">
        <f t="shared" si="10"/>
        <v>Saturday</v>
      </c>
      <c r="KA2" t="str">
        <f t="shared" si="10"/>
        <v>Sunday</v>
      </c>
      <c r="KB2" t="str">
        <f t="shared" si="10"/>
        <v>Monday</v>
      </c>
      <c r="KC2" t="str">
        <f t="shared" si="10"/>
        <v>Tuesday</v>
      </c>
      <c r="KD2" t="str">
        <f t="shared" si="10"/>
        <v>Wednesday</v>
      </c>
      <c r="KE2" t="str">
        <f t="shared" si="10"/>
        <v>Thursday</v>
      </c>
      <c r="KF2" t="str">
        <f t="shared" si="10"/>
        <v>Friday</v>
      </c>
      <c r="KG2" t="str">
        <f t="shared" si="10"/>
        <v>Saturday</v>
      </c>
      <c r="KH2" t="str">
        <f t="shared" si="10"/>
        <v>Sunday</v>
      </c>
      <c r="KI2" t="str">
        <f t="shared" si="10"/>
        <v>Monday</v>
      </c>
      <c r="KJ2" t="str">
        <f t="shared" si="10"/>
        <v>Tuesday</v>
      </c>
      <c r="KK2" t="str">
        <f t="shared" si="10"/>
        <v>Wednesday</v>
      </c>
      <c r="KL2" t="str">
        <f t="shared" si="10"/>
        <v>Thursday</v>
      </c>
      <c r="KM2" t="str">
        <f t="shared" si="10"/>
        <v>Friday</v>
      </c>
      <c r="KN2" t="str">
        <f t="shared" si="10"/>
        <v>Saturday</v>
      </c>
      <c r="KO2" t="str">
        <f t="shared" si="10"/>
        <v>Sunday</v>
      </c>
      <c r="KP2" t="str">
        <f t="shared" si="10"/>
        <v>Monday</v>
      </c>
      <c r="KQ2" t="str">
        <f t="shared" si="10"/>
        <v>Tuesday</v>
      </c>
      <c r="KR2" t="str">
        <f t="shared" si="10"/>
        <v>Wednesday</v>
      </c>
      <c r="KS2" t="str">
        <f t="shared" si="10"/>
        <v>Thursday</v>
      </c>
      <c r="KT2" t="str">
        <f t="shared" si="10"/>
        <v>Friday</v>
      </c>
      <c r="KU2" t="str">
        <f t="shared" si="10"/>
        <v>Saturday</v>
      </c>
      <c r="KV2" t="str">
        <f t="shared" si="10"/>
        <v>Sunday</v>
      </c>
      <c r="KW2" t="str">
        <f t="shared" si="10"/>
        <v>Monday</v>
      </c>
      <c r="KX2" t="str">
        <f t="shared" si="10"/>
        <v>Tuesday</v>
      </c>
      <c r="KY2" t="str">
        <f t="shared" si="10"/>
        <v>Wednesday</v>
      </c>
      <c r="KZ2" t="str">
        <f t="shared" si="10"/>
        <v>Thursday</v>
      </c>
      <c r="LA2" t="str">
        <f t="shared" si="10"/>
        <v>Friday</v>
      </c>
      <c r="LB2" t="str">
        <f t="shared" si="10"/>
        <v>Saturday</v>
      </c>
      <c r="LC2" t="str">
        <f t="shared" si="10"/>
        <v>Sunday</v>
      </c>
      <c r="LD2" t="str">
        <f t="shared" si="10"/>
        <v>Monday</v>
      </c>
      <c r="LE2" t="str">
        <f t="shared" si="10"/>
        <v>Tuesday</v>
      </c>
      <c r="LF2" t="str">
        <f t="shared" si="10"/>
        <v>Wednesday</v>
      </c>
      <c r="LG2" t="str">
        <f t="shared" si="10"/>
        <v>Thursday</v>
      </c>
      <c r="LH2" t="str">
        <f t="shared" si="10"/>
        <v>Friday</v>
      </c>
      <c r="LI2" t="str">
        <f t="shared" si="10"/>
        <v>Saturday</v>
      </c>
      <c r="LJ2" t="str">
        <f t="shared" si="10"/>
        <v>Sunday</v>
      </c>
      <c r="LK2" t="str">
        <f t="shared" si="10"/>
        <v>Monday</v>
      </c>
      <c r="LL2" t="str">
        <f t="shared" ref="LL2:NC2" si="11">TEXT(LL1, "dddd")</f>
        <v>Tuesday</v>
      </c>
      <c r="LM2" t="str">
        <f t="shared" si="11"/>
        <v>Wednesday</v>
      </c>
      <c r="LN2" t="str">
        <f t="shared" si="11"/>
        <v>Thursday</v>
      </c>
      <c r="LO2" t="str">
        <f t="shared" si="11"/>
        <v>Friday</v>
      </c>
      <c r="LP2" t="str">
        <f t="shared" si="11"/>
        <v>Saturday</v>
      </c>
      <c r="LQ2" t="str">
        <f t="shared" si="11"/>
        <v>Sunday</v>
      </c>
      <c r="LR2" t="str">
        <f t="shared" si="11"/>
        <v>Monday</v>
      </c>
      <c r="LS2" t="str">
        <f t="shared" si="11"/>
        <v>Tuesday</v>
      </c>
      <c r="LT2" t="str">
        <f t="shared" si="11"/>
        <v>Wednesday</v>
      </c>
      <c r="LU2" t="str">
        <f t="shared" si="11"/>
        <v>Thursday</v>
      </c>
      <c r="LV2" t="str">
        <f t="shared" si="11"/>
        <v>Friday</v>
      </c>
      <c r="LW2" t="str">
        <f t="shared" si="11"/>
        <v>Saturday</v>
      </c>
      <c r="LX2" t="str">
        <f t="shared" si="11"/>
        <v>Sunday</v>
      </c>
      <c r="LY2" t="str">
        <f t="shared" si="11"/>
        <v>Monday</v>
      </c>
      <c r="LZ2" t="str">
        <f t="shared" si="11"/>
        <v>Tuesday</v>
      </c>
      <c r="MA2" t="str">
        <f t="shared" si="11"/>
        <v>Wednesday</v>
      </c>
      <c r="MB2" t="str">
        <f t="shared" si="11"/>
        <v>Thursday</v>
      </c>
      <c r="MC2" t="str">
        <f t="shared" si="11"/>
        <v>Friday</v>
      </c>
      <c r="MD2" t="str">
        <f t="shared" si="11"/>
        <v>Saturday</v>
      </c>
      <c r="ME2" t="str">
        <f t="shared" si="11"/>
        <v>Sunday</v>
      </c>
      <c r="MF2" t="str">
        <f t="shared" si="11"/>
        <v>Monday</v>
      </c>
      <c r="MG2" t="str">
        <f t="shared" si="11"/>
        <v>Tuesday</v>
      </c>
      <c r="MH2" t="str">
        <f t="shared" si="11"/>
        <v>Wednesday</v>
      </c>
      <c r="MI2" t="str">
        <f t="shared" si="11"/>
        <v>Thursday</v>
      </c>
      <c r="MJ2" t="str">
        <f t="shared" si="11"/>
        <v>Friday</v>
      </c>
      <c r="MK2" t="str">
        <f t="shared" si="11"/>
        <v>Saturday</v>
      </c>
      <c r="ML2" t="str">
        <f t="shared" si="11"/>
        <v>Sunday</v>
      </c>
      <c r="MM2" t="str">
        <f t="shared" si="11"/>
        <v>Monday</v>
      </c>
      <c r="MN2" t="str">
        <f t="shared" si="11"/>
        <v>Tuesday</v>
      </c>
      <c r="MO2" t="str">
        <f t="shared" si="11"/>
        <v>Wednesday</v>
      </c>
      <c r="MP2" t="str">
        <f t="shared" si="11"/>
        <v>Thursday</v>
      </c>
      <c r="MQ2" t="str">
        <f t="shared" si="11"/>
        <v>Friday</v>
      </c>
      <c r="MR2" t="str">
        <f t="shared" si="11"/>
        <v>Saturday</v>
      </c>
      <c r="MS2" t="str">
        <f t="shared" si="11"/>
        <v>Sunday</v>
      </c>
      <c r="MT2" t="str">
        <f t="shared" si="11"/>
        <v>Monday</v>
      </c>
      <c r="MU2" t="str">
        <f t="shared" si="11"/>
        <v>Tuesday</v>
      </c>
      <c r="MV2" t="str">
        <f t="shared" si="11"/>
        <v>Wednesday</v>
      </c>
      <c r="MW2" t="str">
        <f t="shared" si="11"/>
        <v>Thursday</v>
      </c>
      <c r="MX2" t="str">
        <f t="shared" si="11"/>
        <v>Friday</v>
      </c>
      <c r="MY2" t="str">
        <f t="shared" si="11"/>
        <v>Saturday</v>
      </c>
      <c r="MZ2" t="str">
        <f t="shared" si="11"/>
        <v>Sunday</v>
      </c>
      <c r="NA2" t="str">
        <f t="shared" si="11"/>
        <v>Monday</v>
      </c>
      <c r="NB2" t="str">
        <f t="shared" si="11"/>
        <v>Tuesday</v>
      </c>
      <c r="NC2" t="str">
        <f t="shared" si="11"/>
        <v>Wednesday</v>
      </c>
    </row>
    <row r="3" spans="1:369">
      <c r="A3" s="1" t="s">
        <v>2</v>
      </c>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FR3" s="2"/>
      <c r="FS3" s="2"/>
      <c r="FT3" s="23"/>
      <c r="FU3" s="23"/>
      <c r="FV3" s="23"/>
      <c r="FW3" s="23"/>
      <c r="FX3" s="23"/>
      <c r="FY3" s="23"/>
      <c r="FZ3" s="23"/>
      <c r="GA3" s="23"/>
      <c r="GB3" s="23"/>
      <c r="GC3" s="23"/>
      <c r="GD3" s="23"/>
      <c r="GE3" s="23"/>
      <c r="GF3" s="23"/>
      <c r="GG3" s="23"/>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row>
    <row r="4" spans="1:369">
      <c r="A4" t="s">
        <v>3</v>
      </c>
      <c r="H4" t="s">
        <v>4</v>
      </c>
      <c r="I4" t="s">
        <v>4</v>
      </c>
      <c r="J4" t="s">
        <v>4</v>
      </c>
      <c r="K4" t="s">
        <v>4</v>
      </c>
      <c r="L4" t="s">
        <v>4</v>
      </c>
      <c r="AX4" t="s">
        <v>4</v>
      </c>
      <c r="AY4" t="s">
        <v>4</v>
      </c>
      <c r="AZ4" t="s">
        <v>4</v>
      </c>
      <c r="BA4" t="s">
        <v>4</v>
      </c>
      <c r="BB4" t="s">
        <v>4</v>
      </c>
      <c r="CN4" t="s">
        <v>4</v>
      </c>
      <c r="CO4" t="s">
        <v>4</v>
      </c>
      <c r="CP4" t="s">
        <v>4</v>
      </c>
      <c r="CQ4" t="s">
        <v>4</v>
      </c>
      <c r="CR4" t="s">
        <v>4</v>
      </c>
      <c r="ED4" t="s">
        <v>4</v>
      </c>
      <c r="EE4" t="s">
        <v>4</v>
      </c>
      <c r="EF4" t="s">
        <v>4</v>
      </c>
      <c r="EG4" t="s">
        <v>4</v>
      </c>
      <c r="EH4" t="s">
        <v>4</v>
      </c>
      <c r="GO4" t="s">
        <v>4</v>
      </c>
      <c r="GP4" t="s">
        <v>4</v>
      </c>
      <c r="GQ4" t="s">
        <v>4</v>
      </c>
      <c r="GR4" t="s">
        <v>4</v>
      </c>
      <c r="GS4" t="s">
        <v>4</v>
      </c>
      <c r="IE4" t="s">
        <v>4</v>
      </c>
      <c r="IF4" t="s">
        <v>4</v>
      </c>
      <c r="IG4" t="s">
        <v>4</v>
      </c>
      <c r="IH4" t="s">
        <v>4</v>
      </c>
      <c r="II4" t="s">
        <v>4</v>
      </c>
      <c r="JU4" t="s">
        <v>4</v>
      </c>
      <c r="JV4" t="s">
        <v>4</v>
      </c>
      <c r="JW4" t="s">
        <v>4</v>
      </c>
      <c r="JX4" t="s">
        <v>4</v>
      </c>
      <c r="JY4" t="s">
        <v>4</v>
      </c>
      <c r="LK4" t="s">
        <v>4</v>
      </c>
      <c r="LL4" t="s">
        <v>4</v>
      </c>
      <c r="LM4" t="s">
        <v>4</v>
      </c>
      <c r="LN4" t="s">
        <v>4</v>
      </c>
      <c r="LO4" t="s">
        <v>4</v>
      </c>
    </row>
    <row r="5" spans="1:369">
      <c r="A5" t="s">
        <v>5</v>
      </c>
      <c r="O5" t="s">
        <v>4</v>
      </c>
      <c r="P5" t="s">
        <v>4</v>
      </c>
      <c r="Q5" t="s">
        <v>4</v>
      </c>
      <c r="R5" t="s">
        <v>4</v>
      </c>
      <c r="S5" t="s">
        <v>4</v>
      </c>
      <c r="BE5" t="s">
        <v>4</v>
      </c>
      <c r="BF5" t="s">
        <v>4</v>
      </c>
      <c r="BG5" t="s">
        <v>4</v>
      </c>
      <c r="BH5" t="s">
        <v>4</v>
      </c>
      <c r="BI5" t="s">
        <v>4</v>
      </c>
      <c r="CU5" t="s">
        <v>4</v>
      </c>
      <c r="CV5" t="s">
        <v>4</v>
      </c>
      <c r="CW5" t="s">
        <v>4</v>
      </c>
      <c r="CX5" t="s">
        <v>4</v>
      </c>
      <c r="CY5" t="s">
        <v>4</v>
      </c>
      <c r="EK5" t="s">
        <v>4</v>
      </c>
      <c r="EL5" t="s">
        <v>4</v>
      </c>
      <c r="EM5" t="s">
        <v>4</v>
      </c>
      <c r="EN5" t="s">
        <v>4</v>
      </c>
      <c r="EO5" t="s">
        <v>4</v>
      </c>
      <c r="GV5" t="s">
        <v>4</v>
      </c>
      <c r="GW5" t="s">
        <v>4</v>
      </c>
      <c r="GX5" t="s">
        <v>4</v>
      </c>
      <c r="GY5" t="s">
        <v>4</v>
      </c>
      <c r="GZ5" t="s">
        <v>4</v>
      </c>
      <c r="IL5" t="s">
        <v>4</v>
      </c>
      <c r="IM5" t="s">
        <v>4</v>
      </c>
      <c r="IN5" t="s">
        <v>4</v>
      </c>
      <c r="IO5" t="s">
        <v>4</v>
      </c>
      <c r="IP5" t="s">
        <v>4</v>
      </c>
      <c r="KB5" t="s">
        <v>4</v>
      </c>
      <c r="KC5" t="s">
        <v>4</v>
      </c>
      <c r="KD5" t="s">
        <v>4</v>
      </c>
      <c r="KE5" t="s">
        <v>4</v>
      </c>
      <c r="KF5" t="s">
        <v>4</v>
      </c>
      <c r="LR5" t="s">
        <v>4</v>
      </c>
      <c r="LS5" t="s">
        <v>4</v>
      </c>
      <c r="LT5" t="s">
        <v>4</v>
      </c>
      <c r="LU5" t="s">
        <v>4</v>
      </c>
      <c r="LV5" t="s">
        <v>4</v>
      </c>
    </row>
    <row r="6" spans="1:369">
      <c r="A6" t="s">
        <v>6</v>
      </c>
      <c r="V6" t="s">
        <v>4</v>
      </c>
      <c r="W6" t="s">
        <v>4</v>
      </c>
      <c r="X6" t="s">
        <v>4</v>
      </c>
      <c r="Y6" t="s">
        <v>4</v>
      </c>
      <c r="Z6" t="s">
        <v>4</v>
      </c>
      <c r="BL6" t="s">
        <v>4</v>
      </c>
      <c r="BM6" t="s">
        <v>4</v>
      </c>
      <c r="BN6" t="s">
        <v>4</v>
      </c>
      <c r="BO6" t="s">
        <v>4</v>
      </c>
      <c r="BP6" t="s">
        <v>4</v>
      </c>
      <c r="DB6" t="s">
        <v>4</v>
      </c>
      <c r="DC6" t="s">
        <v>4</v>
      </c>
      <c r="DD6" t="s">
        <v>4</v>
      </c>
      <c r="DE6" t="s">
        <v>4</v>
      </c>
      <c r="DF6" t="s">
        <v>4</v>
      </c>
      <c r="EY6" t="s">
        <v>4</v>
      </c>
      <c r="EZ6" t="s">
        <v>4</v>
      </c>
      <c r="FA6" t="s">
        <v>4</v>
      </c>
      <c r="FB6" t="s">
        <v>4</v>
      </c>
      <c r="FC6" t="s">
        <v>4</v>
      </c>
      <c r="HC6" t="s">
        <v>4</v>
      </c>
      <c r="HD6" t="s">
        <v>4</v>
      </c>
      <c r="HE6" t="s">
        <v>4</v>
      </c>
      <c r="HF6" t="s">
        <v>4</v>
      </c>
      <c r="HG6" t="s">
        <v>4</v>
      </c>
      <c r="IS6" t="s">
        <v>4</v>
      </c>
      <c r="IT6" t="s">
        <v>4</v>
      </c>
      <c r="IU6" t="s">
        <v>4</v>
      </c>
      <c r="IV6" t="s">
        <v>4</v>
      </c>
      <c r="IW6" t="s">
        <v>4</v>
      </c>
      <c r="KI6" t="s">
        <v>4</v>
      </c>
      <c r="KJ6" t="s">
        <v>4</v>
      </c>
      <c r="KK6" t="s">
        <v>4</v>
      </c>
      <c r="KL6" t="s">
        <v>4</v>
      </c>
      <c r="KM6" t="s">
        <v>4</v>
      </c>
      <c r="LY6" t="s">
        <v>4</v>
      </c>
      <c r="LZ6" t="s">
        <v>4</v>
      </c>
      <c r="MA6" t="s">
        <v>4</v>
      </c>
      <c r="MB6" t="s">
        <v>4</v>
      </c>
      <c r="MC6" t="s">
        <v>4</v>
      </c>
    </row>
    <row r="7" spans="1:369">
      <c r="A7" t="s">
        <v>7</v>
      </c>
      <c r="AC7" t="s">
        <v>4</v>
      </c>
      <c r="AD7" t="s">
        <v>4</v>
      </c>
      <c r="AE7" t="s">
        <v>4</v>
      </c>
      <c r="AF7" t="s">
        <v>4</v>
      </c>
      <c r="AG7" t="s">
        <v>4</v>
      </c>
      <c r="BS7" t="s">
        <v>4</v>
      </c>
      <c r="BT7" t="s">
        <v>4</v>
      </c>
      <c r="BU7" t="s">
        <v>4</v>
      </c>
      <c r="BV7" t="s">
        <v>4</v>
      </c>
      <c r="BW7" t="s">
        <v>4</v>
      </c>
      <c r="DI7" t="s">
        <v>4</v>
      </c>
      <c r="DJ7" t="s">
        <v>4</v>
      </c>
      <c r="DK7" t="s">
        <v>4</v>
      </c>
      <c r="DL7" t="s">
        <v>4</v>
      </c>
      <c r="DM7" t="s">
        <v>4</v>
      </c>
      <c r="FF7" t="s">
        <v>4</v>
      </c>
      <c r="FG7" t="s">
        <v>4</v>
      </c>
      <c r="FH7" t="s">
        <v>4</v>
      </c>
      <c r="FI7" t="s">
        <v>4</v>
      </c>
      <c r="FJ7" t="s">
        <v>4</v>
      </c>
      <c r="HJ7" t="s">
        <v>4</v>
      </c>
      <c r="HK7" t="s">
        <v>4</v>
      </c>
      <c r="HL7" t="s">
        <v>4</v>
      </c>
      <c r="HM7" t="s">
        <v>4</v>
      </c>
      <c r="HN7" t="s">
        <v>4</v>
      </c>
      <c r="IZ7" t="s">
        <v>4</v>
      </c>
      <c r="JA7" t="s">
        <v>4</v>
      </c>
      <c r="JB7" t="s">
        <v>4</v>
      </c>
      <c r="JC7" t="s">
        <v>4</v>
      </c>
      <c r="JD7" t="s">
        <v>4</v>
      </c>
      <c r="KP7" t="s">
        <v>4</v>
      </c>
      <c r="KQ7" t="s">
        <v>4</v>
      </c>
      <c r="KR7" t="s">
        <v>4</v>
      </c>
      <c r="KS7" t="s">
        <v>4</v>
      </c>
      <c r="KT7" t="s">
        <v>4</v>
      </c>
      <c r="MF7" t="s">
        <v>4</v>
      </c>
      <c r="MG7" t="s">
        <v>4</v>
      </c>
      <c r="MH7" t="s">
        <v>4</v>
      </c>
      <c r="MI7" t="s">
        <v>4</v>
      </c>
      <c r="MJ7" t="s">
        <v>4</v>
      </c>
    </row>
    <row r="8" spans="1:369">
      <c r="A8" t="s">
        <v>8</v>
      </c>
      <c r="AJ8" t="s">
        <v>4</v>
      </c>
      <c r="AK8" t="s">
        <v>4</v>
      </c>
      <c r="AL8" t="s">
        <v>4</v>
      </c>
      <c r="AM8" t="s">
        <v>4</v>
      </c>
      <c r="AN8" t="s">
        <v>4</v>
      </c>
      <c r="BZ8" t="s">
        <v>4</v>
      </c>
      <c r="CA8" t="s">
        <v>4</v>
      </c>
      <c r="CB8" t="s">
        <v>4</v>
      </c>
      <c r="CC8" t="s">
        <v>4</v>
      </c>
      <c r="CD8" t="s">
        <v>4</v>
      </c>
      <c r="DP8" t="s">
        <v>4</v>
      </c>
      <c r="DQ8" t="s">
        <v>4</v>
      </c>
      <c r="DR8" t="s">
        <v>4</v>
      </c>
      <c r="DS8" t="s">
        <v>4</v>
      </c>
      <c r="DT8" t="s">
        <v>4</v>
      </c>
      <c r="FM8" t="s">
        <v>4</v>
      </c>
      <c r="FN8" t="s">
        <v>4</v>
      </c>
      <c r="FO8" t="s">
        <v>4</v>
      </c>
      <c r="FP8" t="s">
        <v>4</v>
      </c>
      <c r="FQ8" t="s">
        <v>4</v>
      </c>
      <c r="HQ8" t="s">
        <v>4</v>
      </c>
      <c r="HR8" t="s">
        <v>4</v>
      </c>
      <c r="HS8" t="s">
        <v>4</v>
      </c>
      <c r="HT8" t="s">
        <v>4</v>
      </c>
      <c r="HU8" t="s">
        <v>4</v>
      </c>
      <c r="JG8" t="s">
        <v>4</v>
      </c>
      <c r="JH8" t="s">
        <v>4</v>
      </c>
      <c r="JI8" t="s">
        <v>4</v>
      </c>
      <c r="JJ8" t="s">
        <v>4</v>
      </c>
      <c r="JK8" t="s">
        <v>4</v>
      </c>
      <c r="KW8" t="s">
        <v>4</v>
      </c>
      <c r="KX8" t="s">
        <v>4</v>
      </c>
      <c r="KY8" t="s">
        <v>4</v>
      </c>
      <c r="KZ8" t="s">
        <v>4</v>
      </c>
      <c r="LA8" t="s">
        <v>4</v>
      </c>
      <c r="MM8" t="s">
        <v>4</v>
      </c>
      <c r="MN8" t="s">
        <v>4</v>
      </c>
      <c r="MO8" t="s">
        <v>4</v>
      </c>
      <c r="MP8" t="s">
        <v>4</v>
      </c>
      <c r="MQ8" t="s">
        <v>4</v>
      </c>
    </row>
    <row r="9" spans="1:369">
      <c r="A9" t="s">
        <v>9</v>
      </c>
      <c r="AQ9" t="s">
        <v>4</v>
      </c>
      <c r="AR9" t="s">
        <v>4</v>
      </c>
      <c r="AS9" t="s">
        <v>4</v>
      </c>
      <c r="AT9" t="s">
        <v>4</v>
      </c>
      <c r="AU9" t="s">
        <v>4</v>
      </c>
      <c r="CG9" t="s">
        <v>4</v>
      </c>
      <c r="CH9" t="s">
        <v>4</v>
      </c>
      <c r="CI9" t="s">
        <v>4</v>
      </c>
      <c r="CJ9" t="s">
        <v>4</v>
      </c>
      <c r="CK9" t="s">
        <v>4</v>
      </c>
      <c r="DW9" t="s">
        <v>4</v>
      </c>
      <c r="DX9" t="s">
        <v>4</v>
      </c>
      <c r="DY9" t="s">
        <v>4</v>
      </c>
      <c r="DZ9" t="s">
        <v>4</v>
      </c>
      <c r="EA9" t="s">
        <v>4</v>
      </c>
      <c r="GH9" s="12" t="s">
        <v>4</v>
      </c>
      <c r="GI9" s="12" t="s">
        <v>4</v>
      </c>
      <c r="GJ9" s="12" t="s">
        <v>4</v>
      </c>
      <c r="GK9" s="12" t="s">
        <v>4</v>
      </c>
      <c r="GL9" s="12" t="s">
        <v>4</v>
      </c>
      <c r="HX9" t="s">
        <v>4</v>
      </c>
      <c r="HY9" t="s">
        <v>4</v>
      </c>
      <c r="HZ9" t="s">
        <v>4</v>
      </c>
      <c r="IA9" t="s">
        <v>4</v>
      </c>
      <c r="IB9" t="s">
        <v>4</v>
      </c>
      <c r="JN9" t="s">
        <v>4</v>
      </c>
      <c r="JO9" t="s">
        <v>4</v>
      </c>
      <c r="JP9" t="s">
        <v>4</v>
      </c>
      <c r="JQ9" t="s">
        <v>4</v>
      </c>
      <c r="JR9" t="s">
        <v>4</v>
      </c>
      <c r="LD9" t="s">
        <v>4</v>
      </c>
      <c r="LE9" t="s">
        <v>4</v>
      </c>
      <c r="LF9" t="s">
        <v>4</v>
      </c>
      <c r="LG9" t="s">
        <v>4</v>
      </c>
      <c r="LH9" t="s">
        <v>4</v>
      </c>
      <c r="MT9" t="s">
        <v>4</v>
      </c>
      <c r="MU9" t="s">
        <v>4</v>
      </c>
      <c r="MV9" t="s">
        <v>4</v>
      </c>
      <c r="MW9" t="s">
        <v>4</v>
      </c>
      <c r="MX9" t="s">
        <v>4</v>
      </c>
    </row>
    <row r="10" spans="1:369">
      <c r="A10" t="s">
        <v>10</v>
      </c>
      <c r="H10" t="s">
        <v>4</v>
      </c>
      <c r="I10" t="s">
        <v>4</v>
      </c>
      <c r="J10" t="s">
        <v>4</v>
      </c>
      <c r="K10" t="s">
        <v>4</v>
      </c>
      <c r="L10" t="s">
        <v>4</v>
      </c>
      <c r="AX10" t="s">
        <v>4</v>
      </c>
      <c r="AY10" t="s">
        <v>4</v>
      </c>
      <c r="AZ10" t="s">
        <v>4</v>
      </c>
      <c r="BA10" t="s">
        <v>4</v>
      </c>
      <c r="BB10" t="s">
        <v>4</v>
      </c>
      <c r="CN10" t="s">
        <v>4</v>
      </c>
      <c r="CO10" t="s">
        <v>4</v>
      </c>
      <c r="CP10" t="s">
        <v>4</v>
      </c>
      <c r="CQ10" t="s">
        <v>4</v>
      </c>
      <c r="CR10" t="s">
        <v>4</v>
      </c>
      <c r="ED10" t="s">
        <v>4</v>
      </c>
      <c r="EE10" t="s">
        <v>4</v>
      </c>
      <c r="EF10" t="s">
        <v>4</v>
      </c>
      <c r="EG10" t="s">
        <v>4</v>
      </c>
      <c r="EH10" t="s">
        <v>4</v>
      </c>
      <c r="GO10" t="s">
        <v>4</v>
      </c>
      <c r="GP10" t="s">
        <v>4</v>
      </c>
      <c r="GQ10" t="s">
        <v>4</v>
      </c>
      <c r="GR10" t="s">
        <v>4</v>
      </c>
      <c r="GS10" t="s">
        <v>4</v>
      </c>
      <c r="IE10" t="s">
        <v>4</v>
      </c>
      <c r="IF10" t="s">
        <v>4</v>
      </c>
      <c r="IG10" t="s">
        <v>4</v>
      </c>
      <c r="IH10" t="s">
        <v>4</v>
      </c>
      <c r="II10" t="s">
        <v>4</v>
      </c>
      <c r="JU10" t="s">
        <v>4</v>
      </c>
      <c r="JV10" t="s">
        <v>4</v>
      </c>
      <c r="JW10" t="s">
        <v>4</v>
      </c>
      <c r="JX10" t="s">
        <v>4</v>
      </c>
      <c r="JY10" t="s">
        <v>4</v>
      </c>
      <c r="LK10" t="s">
        <v>4</v>
      </c>
      <c r="LL10" t="s">
        <v>4</v>
      </c>
      <c r="LM10" t="s">
        <v>4</v>
      </c>
      <c r="LN10" t="s">
        <v>4</v>
      </c>
      <c r="LO10" t="s">
        <v>4</v>
      </c>
      <c r="NE10">
        <f>COUNTIF(C10:NC10, "Clinic")</f>
        <v>40</v>
      </c>
    </row>
    <row r="11" spans="1:369">
      <c r="A11" t="s">
        <v>11</v>
      </c>
      <c r="O11" t="s">
        <v>4</v>
      </c>
      <c r="P11" t="s">
        <v>4</v>
      </c>
      <c r="Q11" t="s">
        <v>4</v>
      </c>
      <c r="R11" t="s">
        <v>4</v>
      </c>
      <c r="S11" t="s">
        <v>4</v>
      </c>
      <c r="BE11" t="s">
        <v>4</v>
      </c>
      <c r="BF11" t="s">
        <v>4</v>
      </c>
      <c r="BG11" t="s">
        <v>4</v>
      </c>
      <c r="BH11" t="s">
        <v>4</v>
      </c>
      <c r="BI11" t="s">
        <v>4</v>
      </c>
      <c r="CU11" t="s">
        <v>4</v>
      </c>
      <c r="CV11" t="s">
        <v>4</v>
      </c>
      <c r="CW11" t="s">
        <v>4</v>
      </c>
      <c r="CX11" t="s">
        <v>4</v>
      </c>
      <c r="CY11" t="s">
        <v>4</v>
      </c>
      <c r="EK11" t="s">
        <v>4</v>
      </c>
      <c r="EL11" t="s">
        <v>4</v>
      </c>
      <c r="EM11" t="s">
        <v>4</v>
      </c>
      <c r="EN11" t="s">
        <v>4</v>
      </c>
      <c r="EO11" t="s">
        <v>4</v>
      </c>
      <c r="GV11" t="s">
        <v>4</v>
      </c>
      <c r="GW11" t="s">
        <v>4</v>
      </c>
      <c r="GX11" t="s">
        <v>4</v>
      </c>
      <c r="GY11" t="s">
        <v>4</v>
      </c>
      <c r="GZ11" t="s">
        <v>4</v>
      </c>
      <c r="IL11" t="s">
        <v>4</v>
      </c>
      <c r="IM11" t="s">
        <v>4</v>
      </c>
      <c r="IN11" t="s">
        <v>4</v>
      </c>
      <c r="IO11" t="s">
        <v>4</v>
      </c>
      <c r="IP11" t="s">
        <v>4</v>
      </c>
      <c r="KB11" t="s">
        <v>4</v>
      </c>
      <c r="KC11" t="s">
        <v>4</v>
      </c>
      <c r="KD11" t="s">
        <v>4</v>
      </c>
      <c r="KE11" t="s">
        <v>4</v>
      </c>
      <c r="KF11" t="s">
        <v>4</v>
      </c>
      <c r="LR11" t="s">
        <v>4</v>
      </c>
      <c r="LS11" t="s">
        <v>4</v>
      </c>
      <c r="LT11" t="s">
        <v>4</v>
      </c>
      <c r="LU11" t="s">
        <v>4</v>
      </c>
      <c r="LV11" t="s">
        <v>4</v>
      </c>
      <c r="NE11">
        <f>COUNTIF(C11:NC11, "Clinic")</f>
        <v>40</v>
      </c>
    </row>
    <row r="12" spans="1:369">
      <c r="A12" t="s">
        <v>12</v>
      </c>
      <c r="V12" t="s">
        <v>4</v>
      </c>
      <c r="W12" t="s">
        <v>4</v>
      </c>
      <c r="X12" t="s">
        <v>4</v>
      </c>
      <c r="Y12" t="s">
        <v>4</v>
      </c>
      <c r="Z12" t="s">
        <v>4</v>
      </c>
      <c r="BL12" t="s">
        <v>4</v>
      </c>
      <c r="BM12" t="s">
        <v>4</v>
      </c>
      <c r="BN12" t="s">
        <v>4</v>
      </c>
      <c r="BO12" t="s">
        <v>4</v>
      </c>
      <c r="BP12" t="s">
        <v>4</v>
      </c>
      <c r="DB12" t="s">
        <v>4</v>
      </c>
      <c r="DC12" t="s">
        <v>4</v>
      </c>
      <c r="DD12" t="s">
        <v>4</v>
      </c>
      <c r="DE12" t="s">
        <v>4</v>
      </c>
      <c r="DF12" t="s">
        <v>4</v>
      </c>
      <c r="EY12" t="s">
        <v>4</v>
      </c>
      <c r="EZ12" t="s">
        <v>4</v>
      </c>
      <c r="FA12" t="s">
        <v>4</v>
      </c>
      <c r="FB12" t="s">
        <v>4</v>
      </c>
      <c r="FC12" t="s">
        <v>4</v>
      </c>
      <c r="HC12" t="s">
        <v>4</v>
      </c>
      <c r="HD12" t="s">
        <v>4</v>
      </c>
      <c r="HE12" t="s">
        <v>4</v>
      </c>
      <c r="HF12" t="s">
        <v>4</v>
      </c>
      <c r="HG12" t="s">
        <v>4</v>
      </c>
      <c r="IS12" t="s">
        <v>4</v>
      </c>
      <c r="IT12" t="s">
        <v>4</v>
      </c>
      <c r="IU12" t="s">
        <v>4</v>
      </c>
      <c r="IV12" t="s">
        <v>4</v>
      </c>
      <c r="IW12" t="s">
        <v>4</v>
      </c>
      <c r="KI12" t="s">
        <v>4</v>
      </c>
      <c r="KJ12" t="s">
        <v>4</v>
      </c>
      <c r="KK12" t="s">
        <v>4</v>
      </c>
      <c r="KL12" t="s">
        <v>4</v>
      </c>
      <c r="KM12" t="s">
        <v>4</v>
      </c>
      <c r="LY12" t="s">
        <v>4</v>
      </c>
      <c r="LZ12" t="s">
        <v>4</v>
      </c>
      <c r="MA12" t="s">
        <v>4</v>
      </c>
      <c r="MB12" t="s">
        <v>4</v>
      </c>
      <c r="MC12" t="s">
        <v>4</v>
      </c>
      <c r="NE12">
        <f t="shared" ref="NE12:NE15" si="12">COUNTIF(C12:NC12, "Clinic")</f>
        <v>40</v>
      </c>
    </row>
    <row r="13" spans="1:369">
      <c r="A13" t="s">
        <v>13</v>
      </c>
      <c r="AC13" t="s">
        <v>4</v>
      </c>
      <c r="AD13" t="s">
        <v>4</v>
      </c>
      <c r="AE13" t="s">
        <v>4</v>
      </c>
      <c r="AF13" t="s">
        <v>4</v>
      </c>
      <c r="AG13" t="s">
        <v>4</v>
      </c>
      <c r="BS13" t="s">
        <v>4</v>
      </c>
      <c r="BT13" t="s">
        <v>4</v>
      </c>
      <c r="BU13" t="s">
        <v>4</v>
      </c>
      <c r="BV13" t="s">
        <v>4</v>
      </c>
      <c r="BW13" t="s">
        <v>4</v>
      </c>
      <c r="DI13" t="s">
        <v>4</v>
      </c>
      <c r="DJ13" t="s">
        <v>4</v>
      </c>
      <c r="DK13" t="s">
        <v>4</v>
      </c>
      <c r="DL13" t="s">
        <v>4</v>
      </c>
      <c r="DM13" t="s">
        <v>4</v>
      </c>
      <c r="FF13" t="s">
        <v>4</v>
      </c>
      <c r="FG13" t="s">
        <v>4</v>
      </c>
      <c r="FH13" t="s">
        <v>4</v>
      </c>
      <c r="FI13" t="s">
        <v>4</v>
      </c>
      <c r="FJ13" t="s">
        <v>4</v>
      </c>
      <c r="HJ13" t="s">
        <v>4</v>
      </c>
      <c r="HK13" t="s">
        <v>4</v>
      </c>
      <c r="HL13" t="s">
        <v>4</v>
      </c>
      <c r="HM13" t="s">
        <v>4</v>
      </c>
      <c r="HN13" t="s">
        <v>4</v>
      </c>
      <c r="IZ13" t="s">
        <v>4</v>
      </c>
      <c r="JA13" t="s">
        <v>4</v>
      </c>
      <c r="JB13" t="s">
        <v>4</v>
      </c>
      <c r="JC13" t="s">
        <v>4</v>
      </c>
      <c r="JD13" t="s">
        <v>4</v>
      </c>
      <c r="KP13" t="s">
        <v>4</v>
      </c>
      <c r="KQ13" t="s">
        <v>4</v>
      </c>
      <c r="KR13" t="s">
        <v>4</v>
      </c>
      <c r="KS13" t="s">
        <v>4</v>
      </c>
      <c r="KT13" t="s">
        <v>4</v>
      </c>
      <c r="MF13" t="s">
        <v>4</v>
      </c>
      <c r="MG13" t="s">
        <v>4</v>
      </c>
      <c r="MH13" t="s">
        <v>4</v>
      </c>
      <c r="MI13" t="s">
        <v>4</v>
      </c>
      <c r="MJ13" t="s">
        <v>4</v>
      </c>
      <c r="NE13">
        <f t="shared" si="12"/>
        <v>40</v>
      </c>
    </row>
    <row r="14" spans="1:369">
      <c r="A14" t="s">
        <v>14</v>
      </c>
      <c r="AJ14" t="s">
        <v>4</v>
      </c>
      <c r="AK14" t="s">
        <v>4</v>
      </c>
      <c r="AL14" t="s">
        <v>4</v>
      </c>
      <c r="AM14" t="s">
        <v>4</v>
      </c>
      <c r="AN14" t="s">
        <v>4</v>
      </c>
      <c r="BZ14" t="s">
        <v>4</v>
      </c>
      <c r="CA14" t="s">
        <v>4</v>
      </c>
      <c r="CB14" t="s">
        <v>4</v>
      </c>
      <c r="CC14" t="s">
        <v>4</v>
      </c>
      <c r="CD14" t="s">
        <v>4</v>
      </c>
      <c r="DP14" t="s">
        <v>4</v>
      </c>
      <c r="DQ14" t="s">
        <v>4</v>
      </c>
      <c r="DR14" t="s">
        <v>4</v>
      </c>
      <c r="DS14" t="s">
        <v>4</v>
      </c>
      <c r="DT14" t="s">
        <v>4</v>
      </c>
      <c r="FM14" t="s">
        <v>4</v>
      </c>
      <c r="FN14" t="s">
        <v>4</v>
      </c>
      <c r="FO14" t="s">
        <v>4</v>
      </c>
      <c r="FP14" t="s">
        <v>4</v>
      </c>
      <c r="FQ14" t="s">
        <v>4</v>
      </c>
      <c r="HQ14" t="s">
        <v>4</v>
      </c>
      <c r="HR14" t="s">
        <v>4</v>
      </c>
      <c r="HS14" t="s">
        <v>4</v>
      </c>
      <c r="HT14" t="s">
        <v>4</v>
      </c>
      <c r="HU14" t="s">
        <v>4</v>
      </c>
      <c r="JG14" t="s">
        <v>4</v>
      </c>
      <c r="JH14" t="s">
        <v>4</v>
      </c>
      <c r="JI14" t="s">
        <v>4</v>
      </c>
      <c r="JJ14" t="s">
        <v>4</v>
      </c>
      <c r="JK14" t="s">
        <v>4</v>
      </c>
      <c r="KW14" t="s">
        <v>4</v>
      </c>
      <c r="KX14" t="s">
        <v>4</v>
      </c>
      <c r="KY14" t="s">
        <v>4</v>
      </c>
      <c r="KZ14" t="s">
        <v>4</v>
      </c>
      <c r="LA14" t="s">
        <v>4</v>
      </c>
      <c r="MM14" t="s">
        <v>4</v>
      </c>
      <c r="MN14" t="s">
        <v>4</v>
      </c>
      <c r="MO14" t="s">
        <v>4</v>
      </c>
      <c r="MP14" t="s">
        <v>4</v>
      </c>
      <c r="MQ14" t="s">
        <v>4</v>
      </c>
      <c r="NE14">
        <f t="shared" si="12"/>
        <v>40</v>
      </c>
    </row>
    <row r="15" spans="1:369">
      <c r="A15" t="s">
        <v>15</v>
      </c>
      <c r="AQ15" t="s">
        <v>4</v>
      </c>
      <c r="AR15" t="s">
        <v>4</v>
      </c>
      <c r="AS15" t="s">
        <v>4</v>
      </c>
      <c r="AT15" t="s">
        <v>4</v>
      </c>
      <c r="AU15" t="s">
        <v>4</v>
      </c>
      <c r="CG15" t="s">
        <v>4</v>
      </c>
      <c r="CH15" t="s">
        <v>4</v>
      </c>
      <c r="CI15" t="s">
        <v>4</v>
      </c>
      <c r="CJ15" t="s">
        <v>4</v>
      </c>
      <c r="CK15" t="s">
        <v>4</v>
      </c>
      <c r="DW15" t="s">
        <v>4</v>
      </c>
      <c r="DX15" t="s">
        <v>4</v>
      </c>
      <c r="DY15" t="s">
        <v>4</v>
      </c>
      <c r="DZ15" t="s">
        <v>4</v>
      </c>
      <c r="EA15" t="s">
        <v>4</v>
      </c>
      <c r="GH15" s="12" t="s">
        <v>4</v>
      </c>
      <c r="GI15" s="12" t="s">
        <v>4</v>
      </c>
      <c r="GJ15" s="12" t="s">
        <v>4</v>
      </c>
      <c r="GK15" s="12" t="s">
        <v>4</v>
      </c>
      <c r="GL15" s="12" t="s">
        <v>4</v>
      </c>
      <c r="HX15" t="s">
        <v>4</v>
      </c>
      <c r="HY15" t="s">
        <v>4</v>
      </c>
      <c r="HZ15" t="s">
        <v>4</v>
      </c>
      <c r="IA15" t="s">
        <v>4</v>
      </c>
      <c r="IB15" t="s">
        <v>4</v>
      </c>
      <c r="JN15" t="s">
        <v>4</v>
      </c>
      <c r="JO15" t="s">
        <v>4</v>
      </c>
      <c r="JP15" t="s">
        <v>4</v>
      </c>
      <c r="JQ15" t="s">
        <v>4</v>
      </c>
      <c r="JR15" t="s">
        <v>4</v>
      </c>
      <c r="LD15" t="s">
        <v>4</v>
      </c>
      <c r="LE15" t="s">
        <v>4</v>
      </c>
      <c r="LF15" t="s">
        <v>4</v>
      </c>
      <c r="LG15" t="s">
        <v>4</v>
      </c>
      <c r="LH15" t="s">
        <v>4</v>
      </c>
      <c r="MT15" t="s">
        <v>4</v>
      </c>
      <c r="MU15" t="s">
        <v>4</v>
      </c>
      <c r="MV15" t="s">
        <v>4</v>
      </c>
      <c r="MW15" t="s">
        <v>4</v>
      </c>
      <c r="MX15" t="s">
        <v>4</v>
      </c>
      <c r="NE15">
        <f t="shared" si="12"/>
        <v>40</v>
      </c>
    </row>
    <row r="16" spans="1:369">
      <c r="A16" t="s">
        <v>16</v>
      </c>
      <c r="H16" t="s">
        <v>4</v>
      </c>
      <c r="I16" t="s">
        <v>4</v>
      </c>
      <c r="J16" t="s">
        <v>4</v>
      </c>
      <c r="K16" t="s">
        <v>4</v>
      </c>
      <c r="L16" t="s">
        <v>4</v>
      </c>
      <c r="AX16" t="s">
        <v>4</v>
      </c>
      <c r="AY16" t="s">
        <v>4</v>
      </c>
      <c r="AZ16" t="s">
        <v>4</v>
      </c>
      <c r="BA16" t="s">
        <v>4</v>
      </c>
      <c r="BB16" t="s">
        <v>4</v>
      </c>
      <c r="CN16" t="s">
        <v>4</v>
      </c>
      <c r="CO16" t="s">
        <v>4</v>
      </c>
      <c r="CP16" t="s">
        <v>4</v>
      </c>
      <c r="CQ16" t="s">
        <v>4</v>
      </c>
      <c r="CR16" t="s">
        <v>4</v>
      </c>
      <c r="ED16" t="s">
        <v>4</v>
      </c>
      <c r="EE16" t="s">
        <v>4</v>
      </c>
      <c r="EF16" t="s">
        <v>4</v>
      </c>
      <c r="EG16" t="s">
        <v>4</v>
      </c>
      <c r="EH16" t="s">
        <v>4</v>
      </c>
      <c r="GO16" t="s">
        <v>4</v>
      </c>
      <c r="GP16" t="s">
        <v>4</v>
      </c>
      <c r="GQ16" t="s">
        <v>4</v>
      </c>
      <c r="GR16" t="s">
        <v>4</v>
      </c>
      <c r="GS16" t="s">
        <v>4</v>
      </c>
      <c r="IE16" t="s">
        <v>4</v>
      </c>
      <c r="IF16" t="s">
        <v>4</v>
      </c>
      <c r="IG16" t="s">
        <v>4</v>
      </c>
      <c r="IH16" t="s">
        <v>4</v>
      </c>
      <c r="II16" t="s">
        <v>4</v>
      </c>
      <c r="JU16" t="s">
        <v>4</v>
      </c>
      <c r="JV16" t="s">
        <v>4</v>
      </c>
      <c r="JW16" t="s">
        <v>4</v>
      </c>
      <c r="JX16" t="s">
        <v>4</v>
      </c>
      <c r="JY16" t="s">
        <v>4</v>
      </c>
      <c r="LK16" t="s">
        <v>4</v>
      </c>
      <c r="LL16" t="s">
        <v>4</v>
      </c>
      <c r="LM16" t="s">
        <v>4</v>
      </c>
      <c r="LN16" t="s">
        <v>4</v>
      </c>
      <c r="LO16" t="s">
        <v>4</v>
      </c>
      <c r="NE16">
        <f>COUNTIF(C16:NC16, "Clinic")</f>
        <v>40</v>
      </c>
    </row>
    <row r="17" spans="1:369">
      <c r="A17" t="s">
        <v>17</v>
      </c>
      <c r="O17" t="s">
        <v>4</v>
      </c>
      <c r="P17" t="s">
        <v>4</v>
      </c>
      <c r="Q17" t="s">
        <v>4</v>
      </c>
      <c r="R17" t="s">
        <v>4</v>
      </c>
      <c r="S17" t="s">
        <v>4</v>
      </c>
      <c r="BE17" t="s">
        <v>4</v>
      </c>
      <c r="BF17" t="s">
        <v>4</v>
      </c>
      <c r="BG17" t="s">
        <v>4</v>
      </c>
      <c r="BH17" t="s">
        <v>4</v>
      </c>
      <c r="BI17" t="s">
        <v>4</v>
      </c>
      <c r="CU17" t="s">
        <v>4</v>
      </c>
      <c r="CV17" t="s">
        <v>4</v>
      </c>
      <c r="CW17" t="s">
        <v>4</v>
      </c>
      <c r="CX17" t="s">
        <v>4</v>
      </c>
      <c r="CY17" t="s">
        <v>4</v>
      </c>
      <c r="EK17" t="s">
        <v>4</v>
      </c>
      <c r="EL17" t="s">
        <v>4</v>
      </c>
      <c r="EM17" t="s">
        <v>4</v>
      </c>
      <c r="EN17" t="s">
        <v>4</v>
      </c>
      <c r="EO17" t="s">
        <v>4</v>
      </c>
      <c r="GV17" t="s">
        <v>4</v>
      </c>
      <c r="GW17" t="s">
        <v>4</v>
      </c>
      <c r="GX17" t="s">
        <v>4</v>
      </c>
      <c r="GY17" t="s">
        <v>4</v>
      </c>
      <c r="GZ17" t="s">
        <v>4</v>
      </c>
      <c r="IL17" t="s">
        <v>4</v>
      </c>
      <c r="IM17" t="s">
        <v>4</v>
      </c>
      <c r="IN17" t="s">
        <v>4</v>
      </c>
      <c r="IO17" t="s">
        <v>4</v>
      </c>
      <c r="IP17" t="s">
        <v>4</v>
      </c>
      <c r="KB17" t="s">
        <v>4</v>
      </c>
      <c r="KC17" t="s">
        <v>4</v>
      </c>
      <c r="KD17" t="s">
        <v>4</v>
      </c>
      <c r="KE17" t="s">
        <v>4</v>
      </c>
      <c r="KF17" t="s">
        <v>4</v>
      </c>
      <c r="LR17" t="s">
        <v>4</v>
      </c>
      <c r="LS17" t="s">
        <v>4</v>
      </c>
      <c r="LT17" t="s">
        <v>4</v>
      </c>
      <c r="LU17" t="s">
        <v>4</v>
      </c>
      <c r="LV17" t="s">
        <v>4</v>
      </c>
      <c r="NE17">
        <f>COUNTIF(C17:NC17, "Clinic")</f>
        <v>40</v>
      </c>
    </row>
    <row r="18" spans="1:369">
      <c r="A18" t="s">
        <v>18</v>
      </c>
      <c r="V18" t="s">
        <v>4</v>
      </c>
      <c r="W18" t="s">
        <v>4</v>
      </c>
      <c r="X18" t="s">
        <v>4</v>
      </c>
      <c r="Y18" t="s">
        <v>4</v>
      </c>
      <c r="Z18" t="s">
        <v>4</v>
      </c>
      <c r="BL18" t="s">
        <v>4</v>
      </c>
      <c r="BM18" t="s">
        <v>4</v>
      </c>
      <c r="BN18" t="s">
        <v>4</v>
      </c>
      <c r="BO18" t="s">
        <v>4</v>
      </c>
      <c r="BP18" t="s">
        <v>4</v>
      </c>
      <c r="DB18" t="s">
        <v>4</v>
      </c>
      <c r="DC18" t="s">
        <v>4</v>
      </c>
      <c r="DD18" t="s">
        <v>4</v>
      </c>
      <c r="DE18" t="s">
        <v>4</v>
      </c>
      <c r="DF18" t="s">
        <v>4</v>
      </c>
      <c r="EY18" t="s">
        <v>4</v>
      </c>
      <c r="EZ18" t="s">
        <v>4</v>
      </c>
      <c r="FA18" t="s">
        <v>4</v>
      </c>
      <c r="FB18" t="s">
        <v>4</v>
      </c>
      <c r="FC18" t="s">
        <v>4</v>
      </c>
      <c r="HC18" t="s">
        <v>4</v>
      </c>
      <c r="HD18" t="s">
        <v>4</v>
      </c>
      <c r="HE18" t="s">
        <v>4</v>
      </c>
      <c r="HF18" t="s">
        <v>4</v>
      </c>
      <c r="HG18" t="s">
        <v>4</v>
      </c>
      <c r="IS18" t="s">
        <v>4</v>
      </c>
      <c r="IT18" t="s">
        <v>4</v>
      </c>
      <c r="IU18" t="s">
        <v>4</v>
      </c>
      <c r="IV18" t="s">
        <v>4</v>
      </c>
      <c r="IW18" t="s">
        <v>4</v>
      </c>
      <c r="KI18" t="s">
        <v>4</v>
      </c>
      <c r="KJ18" t="s">
        <v>4</v>
      </c>
      <c r="KK18" t="s">
        <v>4</v>
      </c>
      <c r="KL18" t="s">
        <v>4</v>
      </c>
      <c r="KM18" t="s">
        <v>4</v>
      </c>
      <c r="LY18" t="s">
        <v>4</v>
      </c>
      <c r="LZ18" t="s">
        <v>4</v>
      </c>
      <c r="MA18" t="s">
        <v>4</v>
      </c>
      <c r="MB18" t="s">
        <v>4</v>
      </c>
      <c r="MC18" t="s">
        <v>4</v>
      </c>
      <c r="NE18">
        <f t="shared" ref="NE18:NE21" si="13">COUNTIF(C18:NC18, "Clinic")</f>
        <v>40</v>
      </c>
    </row>
    <row r="19" spans="1:369">
      <c r="A19" t="s">
        <v>19</v>
      </c>
      <c r="AC19" t="s">
        <v>4</v>
      </c>
      <c r="AD19" t="s">
        <v>4</v>
      </c>
      <c r="AE19" t="s">
        <v>4</v>
      </c>
      <c r="AF19" t="s">
        <v>4</v>
      </c>
      <c r="AG19" t="s">
        <v>4</v>
      </c>
      <c r="BS19" t="s">
        <v>4</v>
      </c>
      <c r="BT19" t="s">
        <v>4</v>
      </c>
      <c r="BU19" t="s">
        <v>4</v>
      </c>
      <c r="BV19" t="s">
        <v>4</v>
      </c>
      <c r="BW19" t="s">
        <v>4</v>
      </c>
      <c r="DI19" t="s">
        <v>4</v>
      </c>
      <c r="DJ19" t="s">
        <v>4</v>
      </c>
      <c r="DK19" t="s">
        <v>4</v>
      </c>
      <c r="DL19" t="s">
        <v>4</v>
      </c>
      <c r="DM19" t="s">
        <v>4</v>
      </c>
      <c r="FF19" t="s">
        <v>4</v>
      </c>
      <c r="FG19" t="s">
        <v>4</v>
      </c>
      <c r="FH19" t="s">
        <v>4</v>
      </c>
      <c r="FI19" t="s">
        <v>4</v>
      </c>
      <c r="FJ19" t="s">
        <v>4</v>
      </c>
      <c r="HJ19" t="s">
        <v>4</v>
      </c>
      <c r="HK19" t="s">
        <v>4</v>
      </c>
      <c r="HL19" t="s">
        <v>4</v>
      </c>
      <c r="HM19" t="s">
        <v>4</v>
      </c>
      <c r="HN19" t="s">
        <v>4</v>
      </c>
      <c r="IZ19" t="s">
        <v>4</v>
      </c>
      <c r="JA19" t="s">
        <v>4</v>
      </c>
      <c r="JB19" t="s">
        <v>4</v>
      </c>
      <c r="JC19" t="s">
        <v>4</v>
      </c>
      <c r="JD19" t="s">
        <v>4</v>
      </c>
      <c r="KP19" t="s">
        <v>4</v>
      </c>
      <c r="KQ19" t="s">
        <v>4</v>
      </c>
      <c r="KR19" t="s">
        <v>4</v>
      </c>
      <c r="KS19" t="s">
        <v>4</v>
      </c>
      <c r="KT19" t="s">
        <v>4</v>
      </c>
      <c r="MF19" t="s">
        <v>4</v>
      </c>
      <c r="MG19" t="s">
        <v>4</v>
      </c>
      <c r="MH19" t="s">
        <v>4</v>
      </c>
      <c r="MI19" t="s">
        <v>4</v>
      </c>
      <c r="MJ19" t="s">
        <v>4</v>
      </c>
      <c r="NE19">
        <f t="shared" si="13"/>
        <v>40</v>
      </c>
    </row>
    <row r="20" spans="1:369">
      <c r="A20" t="s">
        <v>20</v>
      </c>
      <c r="AJ20" t="s">
        <v>4</v>
      </c>
      <c r="AK20" t="s">
        <v>4</v>
      </c>
      <c r="AL20" t="s">
        <v>4</v>
      </c>
      <c r="AM20" t="s">
        <v>4</v>
      </c>
      <c r="AN20" t="s">
        <v>4</v>
      </c>
      <c r="BZ20" t="s">
        <v>4</v>
      </c>
      <c r="CA20" t="s">
        <v>4</v>
      </c>
      <c r="CB20" t="s">
        <v>4</v>
      </c>
      <c r="CC20" t="s">
        <v>4</v>
      </c>
      <c r="CD20" t="s">
        <v>4</v>
      </c>
      <c r="DP20" t="s">
        <v>4</v>
      </c>
      <c r="DQ20" t="s">
        <v>4</v>
      </c>
      <c r="DR20" t="s">
        <v>4</v>
      </c>
      <c r="DS20" t="s">
        <v>4</v>
      </c>
      <c r="DT20" t="s">
        <v>4</v>
      </c>
      <c r="FM20" t="s">
        <v>4</v>
      </c>
      <c r="FN20" t="s">
        <v>4</v>
      </c>
      <c r="FO20" t="s">
        <v>4</v>
      </c>
      <c r="FP20" t="s">
        <v>4</v>
      </c>
      <c r="FQ20" t="s">
        <v>4</v>
      </c>
      <c r="HQ20" t="s">
        <v>4</v>
      </c>
      <c r="HR20" t="s">
        <v>4</v>
      </c>
      <c r="HS20" t="s">
        <v>4</v>
      </c>
      <c r="HT20" t="s">
        <v>4</v>
      </c>
      <c r="HU20" t="s">
        <v>4</v>
      </c>
      <c r="JG20" t="s">
        <v>4</v>
      </c>
      <c r="JH20" t="s">
        <v>4</v>
      </c>
      <c r="JI20" t="s">
        <v>4</v>
      </c>
      <c r="JJ20" t="s">
        <v>4</v>
      </c>
      <c r="JK20" t="s">
        <v>4</v>
      </c>
      <c r="KW20" t="s">
        <v>4</v>
      </c>
      <c r="KX20" t="s">
        <v>4</v>
      </c>
      <c r="KY20" t="s">
        <v>4</v>
      </c>
      <c r="KZ20" t="s">
        <v>4</v>
      </c>
      <c r="LA20" t="s">
        <v>4</v>
      </c>
      <c r="MM20" t="s">
        <v>4</v>
      </c>
      <c r="MN20" t="s">
        <v>4</v>
      </c>
      <c r="MO20" t="s">
        <v>4</v>
      </c>
      <c r="MP20" t="s">
        <v>4</v>
      </c>
      <c r="MQ20" t="s">
        <v>4</v>
      </c>
      <c r="NE20">
        <f t="shared" si="13"/>
        <v>40</v>
      </c>
    </row>
    <row r="21" spans="1:369">
      <c r="A21" t="s">
        <v>21</v>
      </c>
      <c r="AQ21" t="s">
        <v>4</v>
      </c>
      <c r="AR21" t="s">
        <v>4</v>
      </c>
      <c r="AS21" t="s">
        <v>4</v>
      </c>
      <c r="AT21" t="s">
        <v>4</v>
      </c>
      <c r="AU21" t="s">
        <v>4</v>
      </c>
      <c r="CG21" t="s">
        <v>4</v>
      </c>
      <c r="CH21" t="s">
        <v>4</v>
      </c>
      <c r="CI21" t="s">
        <v>4</v>
      </c>
      <c r="CJ21" t="s">
        <v>4</v>
      </c>
      <c r="CK21" t="s">
        <v>4</v>
      </c>
      <c r="DW21" t="s">
        <v>4</v>
      </c>
      <c r="DX21" t="s">
        <v>4</v>
      </c>
      <c r="DY21" t="s">
        <v>4</v>
      </c>
      <c r="DZ21" t="s">
        <v>4</v>
      </c>
      <c r="EA21" t="s">
        <v>4</v>
      </c>
      <c r="GH21" s="12" t="s">
        <v>4</v>
      </c>
      <c r="GI21" s="12" t="s">
        <v>4</v>
      </c>
      <c r="GJ21" s="12" t="s">
        <v>4</v>
      </c>
      <c r="GK21" s="12" t="s">
        <v>4</v>
      </c>
      <c r="GL21" s="12" t="s">
        <v>4</v>
      </c>
      <c r="HX21" t="s">
        <v>4</v>
      </c>
      <c r="HY21" t="s">
        <v>4</v>
      </c>
      <c r="HZ21" t="s">
        <v>4</v>
      </c>
      <c r="IA21" t="s">
        <v>4</v>
      </c>
      <c r="IB21" t="s">
        <v>4</v>
      </c>
      <c r="JN21" t="s">
        <v>4</v>
      </c>
      <c r="JO21" t="s">
        <v>4</v>
      </c>
      <c r="JP21" t="s">
        <v>4</v>
      </c>
      <c r="JQ21" t="s">
        <v>4</v>
      </c>
      <c r="JR21" t="s">
        <v>4</v>
      </c>
      <c r="LD21" t="s">
        <v>4</v>
      </c>
      <c r="LE21" t="s">
        <v>4</v>
      </c>
      <c r="LF21" t="s">
        <v>4</v>
      </c>
      <c r="LG21" t="s">
        <v>4</v>
      </c>
      <c r="LH21" t="s">
        <v>4</v>
      </c>
      <c r="MT21" t="s">
        <v>4</v>
      </c>
      <c r="MU21" t="s">
        <v>4</v>
      </c>
      <c r="MV21" t="s">
        <v>4</v>
      </c>
      <c r="MW21" t="s">
        <v>4</v>
      </c>
      <c r="MX21" t="s">
        <v>4</v>
      </c>
      <c r="NE21">
        <f t="shared" si="13"/>
        <v>40</v>
      </c>
    </row>
    <row r="22" spans="1:369">
      <c r="A22" t="s">
        <v>22</v>
      </c>
      <c r="H22" t="s">
        <v>4</v>
      </c>
      <c r="I22" t="s">
        <v>4</v>
      </c>
      <c r="J22" t="s">
        <v>4</v>
      </c>
      <c r="K22" t="s">
        <v>4</v>
      </c>
      <c r="L22" t="s">
        <v>4</v>
      </c>
      <c r="AX22" t="s">
        <v>4</v>
      </c>
      <c r="AY22" t="s">
        <v>4</v>
      </c>
      <c r="AZ22" t="s">
        <v>4</v>
      </c>
      <c r="BA22" t="s">
        <v>4</v>
      </c>
      <c r="BB22" t="s">
        <v>4</v>
      </c>
      <c r="CN22" t="s">
        <v>4</v>
      </c>
      <c r="CO22" t="s">
        <v>4</v>
      </c>
      <c r="CP22" t="s">
        <v>4</v>
      </c>
      <c r="CQ22" t="s">
        <v>4</v>
      </c>
      <c r="CR22" t="s">
        <v>4</v>
      </c>
      <c r="ED22" t="s">
        <v>4</v>
      </c>
      <c r="EE22" t="s">
        <v>4</v>
      </c>
      <c r="EF22" t="s">
        <v>4</v>
      </c>
      <c r="EG22" t="s">
        <v>4</v>
      </c>
      <c r="EH22" t="s">
        <v>4</v>
      </c>
      <c r="GO22" t="s">
        <v>4</v>
      </c>
      <c r="GP22" t="s">
        <v>4</v>
      </c>
      <c r="GQ22" t="s">
        <v>4</v>
      </c>
      <c r="GR22" t="s">
        <v>4</v>
      </c>
      <c r="GS22" t="s">
        <v>4</v>
      </c>
      <c r="IE22" t="s">
        <v>4</v>
      </c>
      <c r="IF22" t="s">
        <v>4</v>
      </c>
      <c r="IG22" t="s">
        <v>4</v>
      </c>
      <c r="IH22" t="s">
        <v>4</v>
      </c>
      <c r="II22" t="s">
        <v>4</v>
      </c>
      <c r="JU22" t="s">
        <v>4</v>
      </c>
      <c r="JV22" t="s">
        <v>4</v>
      </c>
      <c r="JW22" t="s">
        <v>4</v>
      </c>
      <c r="JX22" t="s">
        <v>4</v>
      </c>
      <c r="JY22" t="s">
        <v>4</v>
      </c>
      <c r="LK22" t="s">
        <v>4</v>
      </c>
      <c r="LL22" t="s">
        <v>4</v>
      </c>
      <c r="LM22" t="s">
        <v>4</v>
      </c>
      <c r="LN22" t="s">
        <v>4</v>
      </c>
      <c r="LO22" t="s">
        <v>4</v>
      </c>
      <c r="NE22">
        <f>COUNTIF(C22:NC22, "Clinic")</f>
        <v>40</v>
      </c>
    </row>
    <row r="23" spans="1:369">
      <c r="A23" t="s">
        <v>23</v>
      </c>
      <c r="O23" t="s">
        <v>4</v>
      </c>
      <c r="P23" t="s">
        <v>4</v>
      </c>
      <c r="Q23" t="s">
        <v>4</v>
      </c>
      <c r="R23" t="s">
        <v>4</v>
      </c>
      <c r="S23" t="s">
        <v>4</v>
      </c>
      <c r="BE23" t="s">
        <v>4</v>
      </c>
      <c r="BF23" t="s">
        <v>4</v>
      </c>
      <c r="BG23" t="s">
        <v>4</v>
      </c>
      <c r="BH23" t="s">
        <v>4</v>
      </c>
      <c r="BI23" t="s">
        <v>4</v>
      </c>
      <c r="CU23" t="s">
        <v>4</v>
      </c>
      <c r="CV23" t="s">
        <v>4</v>
      </c>
      <c r="CW23" t="s">
        <v>4</v>
      </c>
      <c r="CX23" t="s">
        <v>4</v>
      </c>
      <c r="CY23" t="s">
        <v>4</v>
      </c>
      <c r="EK23" t="s">
        <v>4</v>
      </c>
      <c r="EL23" t="s">
        <v>4</v>
      </c>
      <c r="EM23" t="s">
        <v>4</v>
      </c>
      <c r="EN23" t="s">
        <v>4</v>
      </c>
      <c r="EO23" t="s">
        <v>4</v>
      </c>
      <c r="GV23" t="s">
        <v>4</v>
      </c>
      <c r="GW23" t="s">
        <v>4</v>
      </c>
      <c r="GX23" t="s">
        <v>4</v>
      </c>
      <c r="GY23" t="s">
        <v>4</v>
      </c>
      <c r="GZ23" t="s">
        <v>4</v>
      </c>
      <c r="IL23" t="s">
        <v>4</v>
      </c>
      <c r="IM23" t="s">
        <v>4</v>
      </c>
      <c r="IN23" t="s">
        <v>4</v>
      </c>
      <c r="IO23" t="s">
        <v>4</v>
      </c>
      <c r="IP23" t="s">
        <v>4</v>
      </c>
      <c r="KB23" t="s">
        <v>4</v>
      </c>
      <c r="KC23" t="s">
        <v>4</v>
      </c>
      <c r="KD23" t="s">
        <v>4</v>
      </c>
      <c r="KE23" t="s">
        <v>4</v>
      </c>
      <c r="KF23" t="s">
        <v>4</v>
      </c>
      <c r="LR23" t="s">
        <v>4</v>
      </c>
      <c r="LS23" t="s">
        <v>4</v>
      </c>
      <c r="LT23" t="s">
        <v>4</v>
      </c>
      <c r="LU23" t="s">
        <v>4</v>
      </c>
      <c r="LV23" t="s">
        <v>4</v>
      </c>
      <c r="NE23">
        <f>COUNTIF(C23:NC23, "Clinic")</f>
        <v>40</v>
      </c>
    </row>
    <row r="24" spans="1:369">
      <c r="A24" t="s">
        <v>24</v>
      </c>
      <c r="V24" t="s">
        <v>4</v>
      </c>
      <c r="W24" t="s">
        <v>4</v>
      </c>
      <c r="X24" t="s">
        <v>4</v>
      </c>
      <c r="Y24" t="s">
        <v>4</v>
      </c>
      <c r="Z24" t="s">
        <v>4</v>
      </c>
      <c r="BL24" t="s">
        <v>4</v>
      </c>
      <c r="BM24" t="s">
        <v>4</v>
      </c>
      <c r="BN24" t="s">
        <v>4</v>
      </c>
      <c r="BO24" t="s">
        <v>4</v>
      </c>
      <c r="BP24" t="s">
        <v>4</v>
      </c>
      <c r="DB24" t="s">
        <v>4</v>
      </c>
      <c r="DC24" t="s">
        <v>4</v>
      </c>
      <c r="DD24" t="s">
        <v>4</v>
      </c>
      <c r="DE24" t="s">
        <v>4</v>
      </c>
      <c r="DF24" t="s">
        <v>4</v>
      </c>
      <c r="EY24" t="s">
        <v>4</v>
      </c>
      <c r="EZ24" t="s">
        <v>4</v>
      </c>
      <c r="FA24" t="s">
        <v>4</v>
      </c>
      <c r="FB24" t="s">
        <v>4</v>
      </c>
      <c r="FC24" t="s">
        <v>4</v>
      </c>
      <c r="HC24" t="s">
        <v>4</v>
      </c>
      <c r="HD24" t="s">
        <v>4</v>
      </c>
      <c r="HE24" t="s">
        <v>4</v>
      </c>
      <c r="HF24" t="s">
        <v>4</v>
      </c>
      <c r="HG24" t="s">
        <v>4</v>
      </c>
      <c r="IS24" t="s">
        <v>4</v>
      </c>
      <c r="IT24" t="s">
        <v>4</v>
      </c>
      <c r="IU24" t="s">
        <v>4</v>
      </c>
      <c r="IV24" t="s">
        <v>4</v>
      </c>
      <c r="IW24" t="s">
        <v>4</v>
      </c>
      <c r="KI24" t="s">
        <v>4</v>
      </c>
      <c r="KJ24" t="s">
        <v>4</v>
      </c>
      <c r="KK24" t="s">
        <v>4</v>
      </c>
      <c r="KL24" t="s">
        <v>4</v>
      </c>
      <c r="KM24" t="s">
        <v>4</v>
      </c>
      <c r="LY24" t="s">
        <v>4</v>
      </c>
      <c r="LZ24" t="s">
        <v>4</v>
      </c>
      <c r="MA24" t="s">
        <v>4</v>
      </c>
      <c r="MB24" t="s">
        <v>4</v>
      </c>
      <c r="MC24" t="s">
        <v>4</v>
      </c>
      <c r="NE24">
        <f t="shared" ref="NE24:NE27" si="14">COUNTIF(C24:NC24, "Clinic")</f>
        <v>40</v>
      </c>
    </row>
    <row r="25" spans="1:369">
      <c r="A25" t="s">
        <v>25</v>
      </c>
      <c r="AC25" t="s">
        <v>4</v>
      </c>
      <c r="AD25" t="s">
        <v>4</v>
      </c>
      <c r="AE25" t="s">
        <v>4</v>
      </c>
      <c r="AF25" t="s">
        <v>4</v>
      </c>
      <c r="AG25" t="s">
        <v>4</v>
      </c>
      <c r="BS25" t="s">
        <v>4</v>
      </c>
      <c r="BT25" t="s">
        <v>4</v>
      </c>
      <c r="BU25" t="s">
        <v>4</v>
      </c>
      <c r="BV25" t="s">
        <v>4</v>
      </c>
      <c r="BW25" t="s">
        <v>4</v>
      </c>
      <c r="DI25" t="s">
        <v>4</v>
      </c>
      <c r="DJ25" t="s">
        <v>4</v>
      </c>
      <c r="DK25" t="s">
        <v>4</v>
      </c>
      <c r="DL25" t="s">
        <v>4</v>
      </c>
      <c r="DM25" t="s">
        <v>4</v>
      </c>
      <c r="FF25" t="s">
        <v>4</v>
      </c>
      <c r="FG25" t="s">
        <v>4</v>
      </c>
      <c r="FH25" t="s">
        <v>4</v>
      </c>
      <c r="FI25" t="s">
        <v>4</v>
      </c>
      <c r="FJ25" t="s">
        <v>4</v>
      </c>
      <c r="HJ25" t="s">
        <v>4</v>
      </c>
      <c r="HK25" t="s">
        <v>4</v>
      </c>
      <c r="HL25" t="s">
        <v>4</v>
      </c>
      <c r="HM25" t="s">
        <v>4</v>
      </c>
      <c r="HN25" t="s">
        <v>4</v>
      </c>
      <c r="IZ25" t="s">
        <v>4</v>
      </c>
      <c r="JA25" t="s">
        <v>4</v>
      </c>
      <c r="JB25" t="s">
        <v>4</v>
      </c>
      <c r="JC25" t="s">
        <v>4</v>
      </c>
      <c r="JD25" t="s">
        <v>4</v>
      </c>
      <c r="KP25" t="s">
        <v>4</v>
      </c>
      <c r="KQ25" t="s">
        <v>4</v>
      </c>
      <c r="KR25" t="s">
        <v>4</v>
      </c>
      <c r="KS25" t="s">
        <v>4</v>
      </c>
      <c r="KT25" t="s">
        <v>4</v>
      </c>
      <c r="MF25" t="s">
        <v>4</v>
      </c>
      <c r="MG25" t="s">
        <v>4</v>
      </c>
      <c r="MH25" t="s">
        <v>4</v>
      </c>
      <c r="MI25" t="s">
        <v>4</v>
      </c>
      <c r="MJ25" t="s">
        <v>4</v>
      </c>
      <c r="NE25">
        <f t="shared" si="14"/>
        <v>40</v>
      </c>
    </row>
    <row r="26" spans="1:369">
      <c r="A26" t="s">
        <v>26</v>
      </c>
      <c r="AJ26" t="s">
        <v>4</v>
      </c>
      <c r="AK26" t="s">
        <v>4</v>
      </c>
      <c r="AL26" t="s">
        <v>4</v>
      </c>
      <c r="AM26" t="s">
        <v>4</v>
      </c>
      <c r="AN26" t="s">
        <v>4</v>
      </c>
      <c r="BZ26" t="s">
        <v>4</v>
      </c>
      <c r="CA26" t="s">
        <v>4</v>
      </c>
      <c r="CB26" t="s">
        <v>4</v>
      </c>
      <c r="CC26" t="s">
        <v>4</v>
      </c>
      <c r="CD26" t="s">
        <v>4</v>
      </c>
      <c r="DP26" t="s">
        <v>4</v>
      </c>
      <c r="DQ26" t="s">
        <v>4</v>
      </c>
      <c r="DR26" t="s">
        <v>4</v>
      </c>
      <c r="DS26" t="s">
        <v>4</v>
      </c>
      <c r="DT26" t="s">
        <v>4</v>
      </c>
      <c r="FM26" t="s">
        <v>4</v>
      </c>
      <c r="FN26" t="s">
        <v>4</v>
      </c>
      <c r="FO26" t="s">
        <v>4</v>
      </c>
      <c r="FP26" t="s">
        <v>4</v>
      </c>
      <c r="FQ26" t="s">
        <v>4</v>
      </c>
      <c r="HQ26" t="s">
        <v>4</v>
      </c>
      <c r="HR26" t="s">
        <v>4</v>
      </c>
      <c r="HS26" t="s">
        <v>4</v>
      </c>
      <c r="HT26" t="s">
        <v>4</v>
      </c>
      <c r="HU26" t="s">
        <v>4</v>
      </c>
      <c r="JG26" t="s">
        <v>4</v>
      </c>
      <c r="JH26" t="s">
        <v>4</v>
      </c>
      <c r="JI26" t="s">
        <v>4</v>
      </c>
      <c r="JJ26" t="s">
        <v>4</v>
      </c>
      <c r="JK26" t="s">
        <v>4</v>
      </c>
      <c r="KW26" t="s">
        <v>4</v>
      </c>
      <c r="KX26" t="s">
        <v>4</v>
      </c>
      <c r="KY26" t="s">
        <v>4</v>
      </c>
      <c r="KZ26" t="s">
        <v>4</v>
      </c>
      <c r="LA26" t="s">
        <v>4</v>
      </c>
      <c r="MM26" t="s">
        <v>4</v>
      </c>
      <c r="MN26" t="s">
        <v>4</v>
      </c>
      <c r="MO26" t="s">
        <v>4</v>
      </c>
      <c r="MP26" t="s">
        <v>4</v>
      </c>
      <c r="MQ26" t="s">
        <v>4</v>
      </c>
      <c r="NE26">
        <f t="shared" si="14"/>
        <v>40</v>
      </c>
    </row>
    <row r="27" spans="1:369">
      <c r="A27" t="s">
        <v>27</v>
      </c>
      <c r="AQ27" t="s">
        <v>4</v>
      </c>
      <c r="AR27" t="s">
        <v>4</v>
      </c>
      <c r="AS27" t="s">
        <v>4</v>
      </c>
      <c r="AT27" t="s">
        <v>4</v>
      </c>
      <c r="AU27" t="s">
        <v>4</v>
      </c>
      <c r="CG27" t="s">
        <v>4</v>
      </c>
      <c r="CH27" t="s">
        <v>4</v>
      </c>
      <c r="CI27" t="s">
        <v>4</v>
      </c>
      <c r="CJ27" t="s">
        <v>4</v>
      </c>
      <c r="CK27" t="s">
        <v>4</v>
      </c>
      <c r="DW27" t="s">
        <v>4</v>
      </c>
      <c r="DX27" t="s">
        <v>4</v>
      </c>
      <c r="DY27" t="s">
        <v>4</v>
      </c>
      <c r="DZ27" t="s">
        <v>4</v>
      </c>
      <c r="EA27" t="s">
        <v>4</v>
      </c>
      <c r="GH27" s="12" t="s">
        <v>4</v>
      </c>
      <c r="GI27" s="12" t="s">
        <v>4</v>
      </c>
      <c r="GJ27" s="12" t="s">
        <v>4</v>
      </c>
      <c r="GK27" s="12" t="s">
        <v>4</v>
      </c>
      <c r="GL27" s="12" t="s">
        <v>4</v>
      </c>
      <c r="HX27" t="s">
        <v>4</v>
      </c>
      <c r="HY27" t="s">
        <v>4</v>
      </c>
      <c r="HZ27" t="s">
        <v>4</v>
      </c>
      <c r="IA27" t="s">
        <v>4</v>
      </c>
      <c r="IB27" t="s">
        <v>4</v>
      </c>
      <c r="JN27" t="s">
        <v>4</v>
      </c>
      <c r="JO27" t="s">
        <v>4</v>
      </c>
      <c r="JP27" t="s">
        <v>4</v>
      </c>
      <c r="JQ27" t="s">
        <v>4</v>
      </c>
      <c r="JR27" t="s">
        <v>4</v>
      </c>
      <c r="LD27" t="s">
        <v>4</v>
      </c>
      <c r="LE27" t="s">
        <v>4</v>
      </c>
      <c r="LF27" t="s">
        <v>4</v>
      </c>
      <c r="LG27" t="s">
        <v>4</v>
      </c>
      <c r="LH27" t="s">
        <v>4</v>
      </c>
      <c r="MT27" t="s">
        <v>4</v>
      </c>
      <c r="MU27" t="s">
        <v>4</v>
      </c>
      <c r="MV27" t="s">
        <v>4</v>
      </c>
      <c r="MW27" t="s">
        <v>4</v>
      </c>
      <c r="MX27" t="s">
        <v>4</v>
      </c>
      <c r="NE27">
        <f t="shared" si="14"/>
        <v>40</v>
      </c>
    </row>
    <row r="28" spans="1:369">
      <c r="A28" t="s">
        <v>28</v>
      </c>
      <c r="H28" t="s">
        <v>4</v>
      </c>
      <c r="I28" t="s">
        <v>4</v>
      </c>
      <c r="J28" t="s">
        <v>4</v>
      </c>
      <c r="K28" t="s">
        <v>4</v>
      </c>
      <c r="L28" t="s">
        <v>4</v>
      </c>
      <c r="AX28" t="s">
        <v>4</v>
      </c>
      <c r="AY28" t="s">
        <v>4</v>
      </c>
      <c r="AZ28" t="s">
        <v>4</v>
      </c>
      <c r="BA28" t="s">
        <v>4</v>
      </c>
      <c r="BB28" t="s">
        <v>4</v>
      </c>
      <c r="CN28" t="s">
        <v>4</v>
      </c>
      <c r="CO28" t="s">
        <v>4</v>
      </c>
      <c r="CP28" t="s">
        <v>4</v>
      </c>
      <c r="CQ28" t="s">
        <v>4</v>
      </c>
      <c r="CR28" t="s">
        <v>4</v>
      </c>
      <c r="ED28" t="s">
        <v>4</v>
      </c>
      <c r="EE28" t="s">
        <v>4</v>
      </c>
      <c r="EF28" t="s">
        <v>4</v>
      </c>
      <c r="EG28" t="s">
        <v>4</v>
      </c>
      <c r="EH28" t="s">
        <v>4</v>
      </c>
      <c r="GO28" t="s">
        <v>4</v>
      </c>
      <c r="GP28" t="s">
        <v>4</v>
      </c>
      <c r="GQ28" t="s">
        <v>4</v>
      </c>
      <c r="GR28" t="s">
        <v>4</v>
      </c>
      <c r="GS28" t="s">
        <v>4</v>
      </c>
      <c r="IE28" t="s">
        <v>4</v>
      </c>
      <c r="IF28" t="s">
        <v>4</v>
      </c>
      <c r="IG28" t="s">
        <v>4</v>
      </c>
      <c r="IH28" t="s">
        <v>4</v>
      </c>
      <c r="II28" t="s">
        <v>4</v>
      </c>
      <c r="JU28" t="s">
        <v>4</v>
      </c>
      <c r="JV28" t="s">
        <v>4</v>
      </c>
      <c r="JW28" t="s">
        <v>4</v>
      </c>
      <c r="JX28" t="s">
        <v>4</v>
      </c>
      <c r="JY28" t="s">
        <v>4</v>
      </c>
      <c r="LK28" t="s">
        <v>4</v>
      </c>
      <c r="LL28" t="s">
        <v>4</v>
      </c>
      <c r="LM28" t="s">
        <v>4</v>
      </c>
      <c r="LN28" t="s">
        <v>4</v>
      </c>
      <c r="LO28" t="s">
        <v>4</v>
      </c>
      <c r="NE28">
        <f>COUNTIF(C28:NC28, "Clinic")</f>
        <v>40</v>
      </c>
    </row>
    <row r="29" spans="1:369">
      <c r="A29" t="s">
        <v>29</v>
      </c>
      <c r="O29" t="s">
        <v>4</v>
      </c>
      <c r="P29" t="s">
        <v>4</v>
      </c>
      <c r="Q29" t="s">
        <v>4</v>
      </c>
      <c r="R29" t="s">
        <v>4</v>
      </c>
      <c r="S29" t="s">
        <v>4</v>
      </c>
      <c r="BE29" t="s">
        <v>4</v>
      </c>
      <c r="BF29" t="s">
        <v>4</v>
      </c>
      <c r="BG29" t="s">
        <v>4</v>
      </c>
      <c r="BH29" t="s">
        <v>4</v>
      </c>
      <c r="BI29" t="s">
        <v>4</v>
      </c>
      <c r="CU29" t="s">
        <v>4</v>
      </c>
      <c r="CV29" t="s">
        <v>4</v>
      </c>
      <c r="CW29" t="s">
        <v>4</v>
      </c>
      <c r="CX29" t="s">
        <v>4</v>
      </c>
      <c r="CY29" t="s">
        <v>4</v>
      </c>
      <c r="EK29" t="s">
        <v>4</v>
      </c>
      <c r="EL29" t="s">
        <v>4</v>
      </c>
      <c r="EM29" t="s">
        <v>4</v>
      </c>
      <c r="EN29" t="s">
        <v>4</v>
      </c>
      <c r="EO29" t="s">
        <v>4</v>
      </c>
      <c r="GV29" t="s">
        <v>4</v>
      </c>
      <c r="GW29" t="s">
        <v>4</v>
      </c>
      <c r="GX29" t="s">
        <v>4</v>
      </c>
      <c r="GY29" t="s">
        <v>4</v>
      </c>
      <c r="GZ29" t="s">
        <v>4</v>
      </c>
      <c r="IL29" t="s">
        <v>4</v>
      </c>
      <c r="IM29" t="s">
        <v>4</v>
      </c>
      <c r="IN29" t="s">
        <v>4</v>
      </c>
      <c r="IO29" t="s">
        <v>4</v>
      </c>
      <c r="IP29" t="s">
        <v>4</v>
      </c>
      <c r="KB29" t="s">
        <v>4</v>
      </c>
      <c r="KC29" t="s">
        <v>4</v>
      </c>
      <c r="KD29" t="s">
        <v>4</v>
      </c>
      <c r="KE29" t="s">
        <v>4</v>
      </c>
      <c r="KF29" t="s">
        <v>4</v>
      </c>
      <c r="LR29" t="s">
        <v>4</v>
      </c>
      <c r="LS29" t="s">
        <v>4</v>
      </c>
      <c r="LT29" t="s">
        <v>4</v>
      </c>
      <c r="LU29" t="s">
        <v>4</v>
      </c>
      <c r="LV29" t="s">
        <v>4</v>
      </c>
      <c r="NE29">
        <f>COUNTIF(C29:NC29, "Clinic")</f>
        <v>40</v>
      </c>
    </row>
    <row r="30" spans="1:369">
      <c r="A30" t="s">
        <v>30</v>
      </c>
      <c r="V30" t="s">
        <v>4</v>
      </c>
      <c r="W30" t="s">
        <v>4</v>
      </c>
      <c r="X30" t="s">
        <v>4</v>
      </c>
      <c r="Y30" t="s">
        <v>4</v>
      </c>
      <c r="Z30" t="s">
        <v>4</v>
      </c>
      <c r="BL30" t="s">
        <v>4</v>
      </c>
      <c r="BM30" t="s">
        <v>4</v>
      </c>
      <c r="BN30" t="s">
        <v>4</v>
      </c>
      <c r="BO30" t="s">
        <v>4</v>
      </c>
      <c r="BP30" t="s">
        <v>4</v>
      </c>
      <c r="DB30" t="s">
        <v>4</v>
      </c>
      <c r="DC30" t="s">
        <v>4</v>
      </c>
      <c r="DD30" t="s">
        <v>4</v>
      </c>
      <c r="DE30" t="s">
        <v>4</v>
      </c>
      <c r="DF30" t="s">
        <v>4</v>
      </c>
      <c r="EY30" t="s">
        <v>4</v>
      </c>
      <c r="EZ30" t="s">
        <v>4</v>
      </c>
      <c r="FA30" t="s">
        <v>4</v>
      </c>
      <c r="FB30" t="s">
        <v>4</v>
      </c>
      <c r="FC30" t="s">
        <v>4</v>
      </c>
      <c r="HC30" t="s">
        <v>4</v>
      </c>
      <c r="HD30" t="s">
        <v>4</v>
      </c>
      <c r="HE30" t="s">
        <v>4</v>
      </c>
      <c r="HF30" t="s">
        <v>4</v>
      </c>
      <c r="HG30" t="s">
        <v>4</v>
      </c>
      <c r="IS30" t="s">
        <v>4</v>
      </c>
      <c r="IT30" t="s">
        <v>4</v>
      </c>
      <c r="IU30" t="s">
        <v>4</v>
      </c>
      <c r="IV30" t="s">
        <v>4</v>
      </c>
      <c r="IW30" t="s">
        <v>4</v>
      </c>
      <c r="KI30" t="s">
        <v>4</v>
      </c>
      <c r="KJ30" t="s">
        <v>4</v>
      </c>
      <c r="KK30" t="s">
        <v>4</v>
      </c>
      <c r="KL30" t="s">
        <v>4</v>
      </c>
      <c r="KM30" t="s">
        <v>4</v>
      </c>
      <c r="LY30" t="s">
        <v>4</v>
      </c>
      <c r="LZ30" t="s">
        <v>4</v>
      </c>
      <c r="MA30" t="s">
        <v>4</v>
      </c>
      <c r="MB30" t="s">
        <v>4</v>
      </c>
      <c r="MC30" t="s">
        <v>4</v>
      </c>
      <c r="NE30">
        <f t="shared" ref="NE30:NE33" si="15">COUNTIF(C30:NC30, "Clinic")</f>
        <v>40</v>
      </c>
    </row>
    <row r="31" spans="1:369">
      <c r="A31" t="s">
        <v>31</v>
      </c>
      <c r="AC31" t="s">
        <v>4</v>
      </c>
      <c r="AD31" t="s">
        <v>4</v>
      </c>
      <c r="AE31" t="s">
        <v>4</v>
      </c>
      <c r="AF31" t="s">
        <v>4</v>
      </c>
      <c r="AG31" t="s">
        <v>4</v>
      </c>
      <c r="BS31" t="s">
        <v>4</v>
      </c>
      <c r="BT31" t="s">
        <v>4</v>
      </c>
      <c r="BU31" t="s">
        <v>4</v>
      </c>
      <c r="BV31" t="s">
        <v>4</v>
      </c>
      <c r="BW31" t="s">
        <v>4</v>
      </c>
      <c r="DI31" t="s">
        <v>4</v>
      </c>
      <c r="DJ31" t="s">
        <v>4</v>
      </c>
      <c r="DK31" t="s">
        <v>4</v>
      </c>
      <c r="DL31" t="s">
        <v>4</v>
      </c>
      <c r="DM31" t="s">
        <v>4</v>
      </c>
      <c r="FF31" t="s">
        <v>4</v>
      </c>
      <c r="FG31" t="s">
        <v>4</v>
      </c>
      <c r="FH31" t="s">
        <v>4</v>
      </c>
      <c r="FI31" t="s">
        <v>4</v>
      </c>
      <c r="FJ31" t="s">
        <v>4</v>
      </c>
      <c r="HJ31" t="s">
        <v>4</v>
      </c>
      <c r="HK31" t="s">
        <v>4</v>
      </c>
      <c r="HL31" t="s">
        <v>4</v>
      </c>
      <c r="HM31" t="s">
        <v>4</v>
      </c>
      <c r="HN31" t="s">
        <v>4</v>
      </c>
      <c r="IZ31" t="s">
        <v>4</v>
      </c>
      <c r="JA31" t="s">
        <v>4</v>
      </c>
      <c r="JB31" t="s">
        <v>4</v>
      </c>
      <c r="JC31" t="s">
        <v>4</v>
      </c>
      <c r="JD31" t="s">
        <v>4</v>
      </c>
      <c r="KP31" t="s">
        <v>4</v>
      </c>
      <c r="KQ31" t="s">
        <v>4</v>
      </c>
      <c r="KR31" t="s">
        <v>4</v>
      </c>
      <c r="KS31" t="s">
        <v>4</v>
      </c>
      <c r="KT31" t="s">
        <v>4</v>
      </c>
      <c r="MF31" t="s">
        <v>4</v>
      </c>
      <c r="MG31" t="s">
        <v>4</v>
      </c>
      <c r="MH31" t="s">
        <v>4</v>
      </c>
      <c r="MI31" t="s">
        <v>4</v>
      </c>
      <c r="MJ31" t="s">
        <v>4</v>
      </c>
      <c r="NE31">
        <f t="shared" si="15"/>
        <v>40</v>
      </c>
    </row>
    <row r="32" spans="1:369">
      <c r="A32" t="s">
        <v>32</v>
      </c>
      <c r="AJ32" t="s">
        <v>4</v>
      </c>
      <c r="AK32" t="s">
        <v>4</v>
      </c>
      <c r="AL32" t="s">
        <v>4</v>
      </c>
      <c r="AM32" t="s">
        <v>4</v>
      </c>
      <c r="AN32" t="s">
        <v>4</v>
      </c>
      <c r="BZ32" t="s">
        <v>4</v>
      </c>
      <c r="CA32" t="s">
        <v>4</v>
      </c>
      <c r="CB32" t="s">
        <v>4</v>
      </c>
      <c r="CC32" t="s">
        <v>4</v>
      </c>
      <c r="CD32" t="s">
        <v>4</v>
      </c>
      <c r="DP32" t="s">
        <v>4</v>
      </c>
      <c r="DQ32" t="s">
        <v>4</v>
      </c>
      <c r="DR32" t="s">
        <v>4</v>
      </c>
      <c r="DS32" t="s">
        <v>4</v>
      </c>
      <c r="DT32" t="s">
        <v>4</v>
      </c>
      <c r="FM32" t="s">
        <v>4</v>
      </c>
      <c r="FN32" t="s">
        <v>4</v>
      </c>
      <c r="FO32" t="s">
        <v>4</v>
      </c>
      <c r="FP32" t="s">
        <v>4</v>
      </c>
      <c r="FQ32" t="s">
        <v>4</v>
      </c>
      <c r="HQ32" t="s">
        <v>4</v>
      </c>
      <c r="HR32" t="s">
        <v>4</v>
      </c>
      <c r="HS32" t="s">
        <v>4</v>
      </c>
      <c r="HT32" t="s">
        <v>4</v>
      </c>
      <c r="HU32" t="s">
        <v>4</v>
      </c>
      <c r="JG32" t="s">
        <v>4</v>
      </c>
      <c r="JH32" t="s">
        <v>4</v>
      </c>
      <c r="JI32" t="s">
        <v>4</v>
      </c>
      <c r="JJ32" t="s">
        <v>4</v>
      </c>
      <c r="JK32" t="s">
        <v>4</v>
      </c>
      <c r="KW32" t="s">
        <v>4</v>
      </c>
      <c r="KX32" t="s">
        <v>4</v>
      </c>
      <c r="KY32" t="s">
        <v>4</v>
      </c>
      <c r="KZ32" t="s">
        <v>4</v>
      </c>
      <c r="LA32" t="s">
        <v>4</v>
      </c>
      <c r="MM32" t="s">
        <v>4</v>
      </c>
      <c r="MN32" t="s">
        <v>4</v>
      </c>
      <c r="MO32" t="s">
        <v>4</v>
      </c>
      <c r="MP32" t="s">
        <v>4</v>
      </c>
      <c r="MQ32" t="s">
        <v>4</v>
      </c>
      <c r="NE32">
        <f t="shared" si="15"/>
        <v>40</v>
      </c>
    </row>
    <row r="33" spans="1:369">
      <c r="A33" t="s">
        <v>33</v>
      </c>
      <c r="AQ33" t="s">
        <v>4</v>
      </c>
      <c r="AR33" t="s">
        <v>4</v>
      </c>
      <c r="AS33" t="s">
        <v>4</v>
      </c>
      <c r="AT33" t="s">
        <v>4</v>
      </c>
      <c r="AU33" t="s">
        <v>4</v>
      </c>
      <c r="CG33" t="s">
        <v>4</v>
      </c>
      <c r="CH33" t="s">
        <v>4</v>
      </c>
      <c r="CI33" t="s">
        <v>4</v>
      </c>
      <c r="CJ33" t="s">
        <v>4</v>
      </c>
      <c r="CK33" t="s">
        <v>4</v>
      </c>
      <c r="DW33" t="s">
        <v>4</v>
      </c>
      <c r="DX33" t="s">
        <v>4</v>
      </c>
      <c r="DY33" t="s">
        <v>4</v>
      </c>
      <c r="DZ33" t="s">
        <v>4</v>
      </c>
      <c r="EA33" t="s">
        <v>4</v>
      </c>
      <c r="GH33" s="12" t="s">
        <v>4</v>
      </c>
      <c r="GI33" s="12" t="s">
        <v>4</v>
      </c>
      <c r="GJ33" s="12" t="s">
        <v>4</v>
      </c>
      <c r="GK33" s="12" t="s">
        <v>4</v>
      </c>
      <c r="GL33" s="12" t="s">
        <v>4</v>
      </c>
      <c r="HX33" t="s">
        <v>4</v>
      </c>
      <c r="HY33" t="s">
        <v>4</v>
      </c>
      <c r="HZ33" t="s">
        <v>4</v>
      </c>
      <c r="IA33" t="s">
        <v>4</v>
      </c>
      <c r="IB33" t="s">
        <v>4</v>
      </c>
      <c r="JN33" t="s">
        <v>4</v>
      </c>
      <c r="JO33" t="s">
        <v>4</v>
      </c>
      <c r="JP33" t="s">
        <v>4</v>
      </c>
      <c r="JQ33" t="s">
        <v>4</v>
      </c>
      <c r="JR33" t="s">
        <v>4</v>
      </c>
      <c r="LD33" t="s">
        <v>4</v>
      </c>
      <c r="LE33" t="s">
        <v>4</v>
      </c>
      <c r="LF33" t="s">
        <v>4</v>
      </c>
      <c r="LG33" t="s">
        <v>4</v>
      </c>
      <c r="LH33" t="s">
        <v>4</v>
      </c>
      <c r="MT33" t="s">
        <v>4</v>
      </c>
      <c r="MU33" t="s">
        <v>4</v>
      </c>
      <c r="MV33" t="s">
        <v>4</v>
      </c>
      <c r="MW33" t="s">
        <v>4</v>
      </c>
      <c r="MX33" t="s">
        <v>4</v>
      </c>
      <c r="NE33">
        <f t="shared" si="15"/>
        <v>40</v>
      </c>
    </row>
    <row r="34" spans="1:369">
      <c r="A34" t="s">
        <v>34</v>
      </c>
      <c r="H34" t="s">
        <v>4</v>
      </c>
      <c r="I34" t="s">
        <v>4</v>
      </c>
      <c r="J34" t="s">
        <v>4</v>
      </c>
      <c r="K34" t="s">
        <v>4</v>
      </c>
      <c r="L34" t="s">
        <v>4</v>
      </c>
      <c r="AX34" t="s">
        <v>4</v>
      </c>
      <c r="AY34" t="s">
        <v>4</v>
      </c>
      <c r="AZ34" t="s">
        <v>4</v>
      </c>
      <c r="BA34" t="s">
        <v>4</v>
      </c>
      <c r="BB34" t="s">
        <v>4</v>
      </c>
      <c r="CN34" t="s">
        <v>4</v>
      </c>
      <c r="CO34" t="s">
        <v>4</v>
      </c>
      <c r="CP34" t="s">
        <v>4</v>
      </c>
      <c r="CQ34" t="s">
        <v>4</v>
      </c>
      <c r="CR34" t="s">
        <v>4</v>
      </c>
      <c r="ED34" t="s">
        <v>4</v>
      </c>
      <c r="EE34" t="s">
        <v>4</v>
      </c>
      <c r="EF34" t="s">
        <v>4</v>
      </c>
      <c r="EG34" t="s">
        <v>4</v>
      </c>
      <c r="EH34" t="s">
        <v>4</v>
      </c>
      <c r="GO34" t="s">
        <v>4</v>
      </c>
      <c r="GP34" t="s">
        <v>4</v>
      </c>
      <c r="GQ34" t="s">
        <v>4</v>
      </c>
      <c r="GR34" t="s">
        <v>4</v>
      </c>
      <c r="GS34" t="s">
        <v>4</v>
      </c>
      <c r="IE34" t="s">
        <v>4</v>
      </c>
      <c r="IF34" t="s">
        <v>4</v>
      </c>
      <c r="IG34" t="s">
        <v>4</v>
      </c>
      <c r="IH34" t="s">
        <v>4</v>
      </c>
      <c r="II34" t="s">
        <v>4</v>
      </c>
      <c r="JU34" t="s">
        <v>4</v>
      </c>
      <c r="JV34" t="s">
        <v>4</v>
      </c>
      <c r="JW34" t="s">
        <v>4</v>
      </c>
      <c r="JX34" t="s">
        <v>4</v>
      </c>
      <c r="JY34" t="s">
        <v>4</v>
      </c>
      <c r="LK34" t="s">
        <v>4</v>
      </c>
      <c r="LL34" t="s">
        <v>4</v>
      </c>
      <c r="LM34" t="s">
        <v>4</v>
      </c>
      <c r="LN34" t="s">
        <v>4</v>
      </c>
      <c r="LO34" t="s">
        <v>4</v>
      </c>
      <c r="NE34">
        <f>COUNTIF(C34:NC34, "Clinic")</f>
        <v>40</v>
      </c>
    </row>
    <row r="35" spans="1:369">
      <c r="A35" t="s">
        <v>35</v>
      </c>
      <c r="O35" t="s">
        <v>4</v>
      </c>
      <c r="P35" t="s">
        <v>4</v>
      </c>
      <c r="Q35" t="s">
        <v>4</v>
      </c>
      <c r="R35" t="s">
        <v>4</v>
      </c>
      <c r="S35" t="s">
        <v>4</v>
      </c>
      <c r="BE35" t="s">
        <v>4</v>
      </c>
      <c r="BF35" t="s">
        <v>4</v>
      </c>
      <c r="BG35" t="s">
        <v>4</v>
      </c>
      <c r="BH35" t="s">
        <v>4</v>
      </c>
      <c r="BI35" t="s">
        <v>4</v>
      </c>
      <c r="CU35" t="s">
        <v>4</v>
      </c>
      <c r="CV35" t="s">
        <v>4</v>
      </c>
      <c r="CW35" t="s">
        <v>4</v>
      </c>
      <c r="CX35" t="s">
        <v>4</v>
      </c>
      <c r="CY35" t="s">
        <v>4</v>
      </c>
      <c r="EK35" t="s">
        <v>4</v>
      </c>
      <c r="EL35" t="s">
        <v>4</v>
      </c>
      <c r="EM35" t="s">
        <v>4</v>
      </c>
      <c r="EN35" t="s">
        <v>4</v>
      </c>
      <c r="EO35" t="s">
        <v>4</v>
      </c>
      <c r="GV35" t="s">
        <v>4</v>
      </c>
      <c r="GW35" t="s">
        <v>4</v>
      </c>
      <c r="GX35" t="s">
        <v>4</v>
      </c>
      <c r="GY35" t="s">
        <v>4</v>
      </c>
      <c r="GZ35" t="s">
        <v>4</v>
      </c>
      <c r="IL35" t="s">
        <v>4</v>
      </c>
      <c r="IM35" t="s">
        <v>4</v>
      </c>
      <c r="IN35" t="s">
        <v>4</v>
      </c>
      <c r="IO35" t="s">
        <v>4</v>
      </c>
      <c r="IP35" t="s">
        <v>4</v>
      </c>
      <c r="KB35" t="s">
        <v>4</v>
      </c>
      <c r="KC35" t="s">
        <v>4</v>
      </c>
      <c r="KD35" t="s">
        <v>4</v>
      </c>
      <c r="KE35" t="s">
        <v>4</v>
      </c>
      <c r="KF35" t="s">
        <v>4</v>
      </c>
      <c r="LR35" t="s">
        <v>4</v>
      </c>
      <c r="LS35" t="s">
        <v>4</v>
      </c>
      <c r="LT35" t="s">
        <v>4</v>
      </c>
      <c r="LU35" t="s">
        <v>4</v>
      </c>
      <c r="LV35" t="s">
        <v>4</v>
      </c>
      <c r="NE35">
        <f>COUNTIF(C35:NC35, "Clinic")</f>
        <v>40</v>
      </c>
    </row>
    <row r="36" spans="1:369">
      <c r="A36" t="s">
        <v>36</v>
      </c>
      <c r="V36" t="s">
        <v>4</v>
      </c>
      <c r="W36" t="s">
        <v>4</v>
      </c>
      <c r="X36" t="s">
        <v>4</v>
      </c>
      <c r="Y36" t="s">
        <v>4</v>
      </c>
      <c r="Z36" t="s">
        <v>4</v>
      </c>
      <c r="BL36" t="s">
        <v>4</v>
      </c>
      <c r="BM36" t="s">
        <v>4</v>
      </c>
      <c r="BN36" t="s">
        <v>4</v>
      </c>
      <c r="BO36" t="s">
        <v>4</v>
      </c>
      <c r="BP36" t="s">
        <v>4</v>
      </c>
      <c r="DB36" t="s">
        <v>4</v>
      </c>
      <c r="DC36" t="s">
        <v>4</v>
      </c>
      <c r="DD36" t="s">
        <v>4</v>
      </c>
      <c r="DE36" t="s">
        <v>4</v>
      </c>
      <c r="DF36" t="s">
        <v>4</v>
      </c>
      <c r="EY36" t="s">
        <v>4</v>
      </c>
      <c r="EZ36" t="s">
        <v>4</v>
      </c>
      <c r="FA36" t="s">
        <v>4</v>
      </c>
      <c r="FB36" t="s">
        <v>4</v>
      </c>
      <c r="FC36" t="s">
        <v>4</v>
      </c>
      <c r="HC36" t="s">
        <v>4</v>
      </c>
      <c r="HD36" t="s">
        <v>4</v>
      </c>
      <c r="HE36" t="s">
        <v>4</v>
      </c>
      <c r="HF36" t="s">
        <v>4</v>
      </c>
      <c r="HG36" t="s">
        <v>4</v>
      </c>
      <c r="IS36" t="s">
        <v>4</v>
      </c>
      <c r="IT36" t="s">
        <v>4</v>
      </c>
      <c r="IU36" t="s">
        <v>4</v>
      </c>
      <c r="IV36" t="s">
        <v>4</v>
      </c>
      <c r="IW36" t="s">
        <v>4</v>
      </c>
      <c r="KI36" t="s">
        <v>4</v>
      </c>
      <c r="KJ36" t="s">
        <v>4</v>
      </c>
      <c r="KK36" t="s">
        <v>4</v>
      </c>
      <c r="KL36" t="s">
        <v>4</v>
      </c>
      <c r="KM36" t="s">
        <v>4</v>
      </c>
      <c r="LY36" t="s">
        <v>4</v>
      </c>
      <c r="LZ36" t="s">
        <v>4</v>
      </c>
      <c r="MA36" t="s">
        <v>4</v>
      </c>
      <c r="MB36" t="s">
        <v>4</v>
      </c>
      <c r="MC36" t="s">
        <v>4</v>
      </c>
      <c r="NE36">
        <f t="shared" ref="NE36:NE39" si="16">COUNTIF(C36:NC36, "Clinic")</f>
        <v>40</v>
      </c>
    </row>
    <row r="37" spans="1:369">
      <c r="A37" t="s">
        <v>37</v>
      </c>
      <c r="AC37" t="s">
        <v>4</v>
      </c>
      <c r="AD37" t="s">
        <v>4</v>
      </c>
      <c r="AE37" t="s">
        <v>4</v>
      </c>
      <c r="AF37" t="s">
        <v>4</v>
      </c>
      <c r="AG37" t="s">
        <v>4</v>
      </c>
      <c r="BS37" t="s">
        <v>4</v>
      </c>
      <c r="BT37" t="s">
        <v>4</v>
      </c>
      <c r="BU37" t="s">
        <v>4</v>
      </c>
      <c r="BV37" t="s">
        <v>4</v>
      </c>
      <c r="BW37" t="s">
        <v>4</v>
      </c>
      <c r="DI37" t="s">
        <v>4</v>
      </c>
      <c r="DJ37" t="s">
        <v>4</v>
      </c>
      <c r="DK37" t="s">
        <v>4</v>
      </c>
      <c r="DL37" t="s">
        <v>4</v>
      </c>
      <c r="DM37" t="s">
        <v>4</v>
      </c>
      <c r="FF37" t="s">
        <v>4</v>
      </c>
      <c r="FG37" t="s">
        <v>4</v>
      </c>
      <c r="FH37" t="s">
        <v>4</v>
      </c>
      <c r="FI37" t="s">
        <v>4</v>
      </c>
      <c r="FJ37" t="s">
        <v>4</v>
      </c>
      <c r="HJ37" t="s">
        <v>4</v>
      </c>
      <c r="HK37" t="s">
        <v>4</v>
      </c>
      <c r="HL37" t="s">
        <v>4</v>
      </c>
      <c r="HM37" t="s">
        <v>4</v>
      </c>
      <c r="HN37" t="s">
        <v>4</v>
      </c>
      <c r="IZ37" t="s">
        <v>4</v>
      </c>
      <c r="JA37" t="s">
        <v>4</v>
      </c>
      <c r="JB37" t="s">
        <v>4</v>
      </c>
      <c r="JC37" t="s">
        <v>4</v>
      </c>
      <c r="JD37" t="s">
        <v>4</v>
      </c>
      <c r="KP37" t="s">
        <v>4</v>
      </c>
      <c r="KQ37" t="s">
        <v>4</v>
      </c>
      <c r="KR37" t="s">
        <v>4</v>
      </c>
      <c r="KS37" t="s">
        <v>4</v>
      </c>
      <c r="KT37" t="s">
        <v>4</v>
      </c>
      <c r="MF37" t="s">
        <v>4</v>
      </c>
      <c r="MG37" t="s">
        <v>4</v>
      </c>
      <c r="MH37" t="s">
        <v>4</v>
      </c>
      <c r="MI37" t="s">
        <v>4</v>
      </c>
      <c r="MJ37" t="s">
        <v>4</v>
      </c>
      <c r="NE37">
        <f t="shared" si="16"/>
        <v>40</v>
      </c>
    </row>
    <row r="38" spans="1:369">
      <c r="A38" t="s">
        <v>38</v>
      </c>
      <c r="AJ38" t="s">
        <v>4</v>
      </c>
      <c r="AK38" t="s">
        <v>4</v>
      </c>
      <c r="AL38" t="s">
        <v>4</v>
      </c>
      <c r="AM38" t="s">
        <v>4</v>
      </c>
      <c r="AN38" t="s">
        <v>4</v>
      </c>
      <c r="BZ38" t="s">
        <v>4</v>
      </c>
      <c r="CA38" t="s">
        <v>4</v>
      </c>
      <c r="CB38" t="s">
        <v>4</v>
      </c>
      <c r="CC38" t="s">
        <v>4</v>
      </c>
      <c r="CD38" t="s">
        <v>4</v>
      </c>
      <c r="DP38" t="s">
        <v>4</v>
      </c>
      <c r="DQ38" t="s">
        <v>4</v>
      </c>
      <c r="DR38" t="s">
        <v>4</v>
      </c>
      <c r="DS38" t="s">
        <v>4</v>
      </c>
      <c r="DT38" t="s">
        <v>4</v>
      </c>
      <c r="FM38" t="s">
        <v>4</v>
      </c>
      <c r="FN38" t="s">
        <v>4</v>
      </c>
      <c r="FO38" t="s">
        <v>4</v>
      </c>
      <c r="FP38" t="s">
        <v>4</v>
      </c>
      <c r="FQ38" t="s">
        <v>4</v>
      </c>
      <c r="HQ38" t="s">
        <v>4</v>
      </c>
      <c r="HR38" t="s">
        <v>4</v>
      </c>
      <c r="HS38" t="s">
        <v>4</v>
      </c>
      <c r="HT38" t="s">
        <v>4</v>
      </c>
      <c r="HU38" t="s">
        <v>4</v>
      </c>
      <c r="JG38" t="s">
        <v>4</v>
      </c>
      <c r="JH38" t="s">
        <v>4</v>
      </c>
      <c r="JI38" t="s">
        <v>4</v>
      </c>
      <c r="JJ38" t="s">
        <v>4</v>
      </c>
      <c r="JK38" t="s">
        <v>4</v>
      </c>
      <c r="KW38" t="s">
        <v>4</v>
      </c>
      <c r="KX38" t="s">
        <v>4</v>
      </c>
      <c r="KY38" t="s">
        <v>4</v>
      </c>
      <c r="KZ38" t="s">
        <v>4</v>
      </c>
      <c r="LA38" t="s">
        <v>4</v>
      </c>
      <c r="MM38" t="s">
        <v>4</v>
      </c>
      <c r="MN38" t="s">
        <v>4</v>
      </c>
      <c r="MO38" t="s">
        <v>4</v>
      </c>
      <c r="MP38" t="s">
        <v>4</v>
      </c>
      <c r="MQ38" t="s">
        <v>4</v>
      </c>
      <c r="NE38">
        <f t="shared" si="16"/>
        <v>40</v>
      </c>
    </row>
    <row r="39" spans="1:369">
      <c r="A39" t="s">
        <v>39</v>
      </c>
      <c r="AQ39" t="s">
        <v>4</v>
      </c>
      <c r="AR39" t="s">
        <v>4</v>
      </c>
      <c r="AS39" t="s">
        <v>4</v>
      </c>
      <c r="AT39" t="s">
        <v>4</v>
      </c>
      <c r="AU39" t="s">
        <v>4</v>
      </c>
      <c r="CG39" t="s">
        <v>4</v>
      </c>
      <c r="CH39" t="s">
        <v>4</v>
      </c>
      <c r="CI39" t="s">
        <v>4</v>
      </c>
      <c r="CJ39" t="s">
        <v>4</v>
      </c>
      <c r="CK39" t="s">
        <v>4</v>
      </c>
      <c r="DW39" t="s">
        <v>4</v>
      </c>
      <c r="DX39" t="s">
        <v>4</v>
      </c>
      <c r="DY39" t="s">
        <v>4</v>
      </c>
      <c r="DZ39" t="s">
        <v>4</v>
      </c>
      <c r="EA39" t="s">
        <v>4</v>
      </c>
      <c r="GH39" s="12" t="s">
        <v>4</v>
      </c>
      <c r="GI39" s="12" t="s">
        <v>4</v>
      </c>
      <c r="GJ39" s="12" t="s">
        <v>4</v>
      </c>
      <c r="GK39" s="12" t="s">
        <v>4</v>
      </c>
      <c r="GL39" s="12" t="s">
        <v>4</v>
      </c>
      <c r="HX39" t="s">
        <v>4</v>
      </c>
      <c r="HY39" t="s">
        <v>4</v>
      </c>
      <c r="HZ39" t="s">
        <v>4</v>
      </c>
      <c r="IA39" t="s">
        <v>4</v>
      </c>
      <c r="IB39" t="s">
        <v>4</v>
      </c>
      <c r="JN39" t="s">
        <v>4</v>
      </c>
      <c r="JO39" t="s">
        <v>4</v>
      </c>
      <c r="JP39" t="s">
        <v>4</v>
      </c>
      <c r="JQ39" t="s">
        <v>4</v>
      </c>
      <c r="JR39" t="s">
        <v>4</v>
      </c>
      <c r="LD39" t="s">
        <v>4</v>
      </c>
      <c r="LE39" t="s">
        <v>4</v>
      </c>
      <c r="LF39" t="s">
        <v>4</v>
      </c>
      <c r="LG39" t="s">
        <v>4</v>
      </c>
      <c r="LH39" t="s">
        <v>4</v>
      </c>
      <c r="MT39" t="s">
        <v>4</v>
      </c>
      <c r="MU39" t="s">
        <v>4</v>
      </c>
      <c r="MV39" t="s">
        <v>4</v>
      </c>
      <c r="MW39" t="s">
        <v>4</v>
      </c>
      <c r="MX39" t="s">
        <v>4</v>
      </c>
      <c r="NE39">
        <f t="shared" si="16"/>
        <v>40</v>
      </c>
    </row>
    <row r="40" spans="1:369">
      <c r="A40" t="s">
        <v>40</v>
      </c>
      <c r="H40" t="s">
        <v>4</v>
      </c>
      <c r="I40" t="s">
        <v>4</v>
      </c>
      <c r="J40" t="s">
        <v>4</v>
      </c>
      <c r="K40" t="s">
        <v>4</v>
      </c>
      <c r="L40" t="s">
        <v>4</v>
      </c>
      <c r="AX40" t="s">
        <v>4</v>
      </c>
      <c r="AY40" t="s">
        <v>4</v>
      </c>
      <c r="AZ40" t="s">
        <v>4</v>
      </c>
      <c r="BA40" t="s">
        <v>4</v>
      </c>
      <c r="BB40" t="s">
        <v>4</v>
      </c>
      <c r="CN40" t="s">
        <v>4</v>
      </c>
      <c r="CO40" t="s">
        <v>4</v>
      </c>
      <c r="CP40" t="s">
        <v>4</v>
      </c>
      <c r="CQ40" t="s">
        <v>4</v>
      </c>
      <c r="CR40" t="s">
        <v>4</v>
      </c>
      <c r="ED40" t="s">
        <v>4</v>
      </c>
      <c r="EE40" t="s">
        <v>4</v>
      </c>
      <c r="EF40" t="s">
        <v>4</v>
      </c>
      <c r="EG40" t="s">
        <v>4</v>
      </c>
      <c r="EH40" t="s">
        <v>4</v>
      </c>
      <c r="GO40" t="s">
        <v>4</v>
      </c>
      <c r="GP40" t="s">
        <v>4</v>
      </c>
      <c r="GQ40" t="s">
        <v>4</v>
      </c>
      <c r="GR40" t="s">
        <v>4</v>
      </c>
      <c r="GS40" t="s">
        <v>4</v>
      </c>
      <c r="IE40" t="s">
        <v>4</v>
      </c>
      <c r="IF40" t="s">
        <v>4</v>
      </c>
      <c r="IG40" t="s">
        <v>4</v>
      </c>
      <c r="IH40" t="s">
        <v>4</v>
      </c>
      <c r="II40" t="s">
        <v>4</v>
      </c>
      <c r="JU40" t="s">
        <v>4</v>
      </c>
      <c r="JV40" t="s">
        <v>4</v>
      </c>
      <c r="JW40" t="s">
        <v>4</v>
      </c>
      <c r="JX40" t="s">
        <v>4</v>
      </c>
      <c r="JY40" t="s">
        <v>4</v>
      </c>
      <c r="LK40" t="s">
        <v>4</v>
      </c>
      <c r="LL40" t="s">
        <v>4</v>
      </c>
      <c r="LM40" t="s">
        <v>4</v>
      </c>
      <c r="LN40" t="s">
        <v>4</v>
      </c>
      <c r="LO40" t="s">
        <v>4</v>
      </c>
      <c r="NE40">
        <f>COUNTIF(C40:NC40, "Clinic")</f>
        <v>40</v>
      </c>
    </row>
    <row r="41" spans="1:369">
      <c r="A41" t="s">
        <v>41</v>
      </c>
      <c r="O41" t="s">
        <v>4</v>
      </c>
      <c r="P41" t="s">
        <v>4</v>
      </c>
      <c r="Q41" t="s">
        <v>4</v>
      </c>
      <c r="R41" t="s">
        <v>4</v>
      </c>
      <c r="S41" t="s">
        <v>4</v>
      </c>
      <c r="BE41" t="s">
        <v>4</v>
      </c>
      <c r="BF41" t="s">
        <v>4</v>
      </c>
      <c r="BG41" t="s">
        <v>4</v>
      </c>
      <c r="BH41" t="s">
        <v>4</v>
      </c>
      <c r="BI41" t="s">
        <v>4</v>
      </c>
      <c r="CU41" t="s">
        <v>4</v>
      </c>
      <c r="CV41" t="s">
        <v>4</v>
      </c>
      <c r="CW41" t="s">
        <v>4</v>
      </c>
      <c r="CX41" t="s">
        <v>4</v>
      </c>
      <c r="CY41" t="s">
        <v>4</v>
      </c>
      <c r="EK41" t="s">
        <v>4</v>
      </c>
      <c r="EL41" t="s">
        <v>4</v>
      </c>
      <c r="EM41" t="s">
        <v>4</v>
      </c>
      <c r="EN41" t="s">
        <v>4</v>
      </c>
      <c r="EO41" t="s">
        <v>4</v>
      </c>
      <c r="GV41" t="s">
        <v>4</v>
      </c>
      <c r="GW41" t="s">
        <v>4</v>
      </c>
      <c r="GX41" t="s">
        <v>4</v>
      </c>
      <c r="GY41" t="s">
        <v>4</v>
      </c>
      <c r="GZ41" t="s">
        <v>4</v>
      </c>
      <c r="IL41" t="s">
        <v>4</v>
      </c>
      <c r="IM41" t="s">
        <v>4</v>
      </c>
      <c r="IN41" t="s">
        <v>4</v>
      </c>
      <c r="IO41" t="s">
        <v>4</v>
      </c>
      <c r="IP41" t="s">
        <v>4</v>
      </c>
      <c r="KB41" t="s">
        <v>4</v>
      </c>
      <c r="KC41" t="s">
        <v>4</v>
      </c>
      <c r="KD41" t="s">
        <v>4</v>
      </c>
      <c r="KE41" t="s">
        <v>4</v>
      </c>
      <c r="KF41" t="s">
        <v>4</v>
      </c>
      <c r="LR41" t="s">
        <v>4</v>
      </c>
      <c r="LS41" t="s">
        <v>4</v>
      </c>
      <c r="LT41" t="s">
        <v>4</v>
      </c>
      <c r="LU41" t="s">
        <v>4</v>
      </c>
      <c r="LV41" t="s">
        <v>4</v>
      </c>
      <c r="NE41">
        <f>COUNTIF(C41:NC41, "Clinic")</f>
        <v>40</v>
      </c>
    </row>
    <row r="42" spans="1:369">
      <c r="A42" t="s">
        <v>42</v>
      </c>
      <c r="V42" t="s">
        <v>4</v>
      </c>
      <c r="W42" t="s">
        <v>4</v>
      </c>
      <c r="X42" t="s">
        <v>4</v>
      </c>
      <c r="Y42" t="s">
        <v>4</v>
      </c>
      <c r="Z42" t="s">
        <v>4</v>
      </c>
      <c r="BL42" t="s">
        <v>4</v>
      </c>
      <c r="BM42" t="s">
        <v>4</v>
      </c>
      <c r="BN42" t="s">
        <v>4</v>
      </c>
      <c r="BO42" t="s">
        <v>4</v>
      </c>
      <c r="BP42" t="s">
        <v>4</v>
      </c>
      <c r="DB42" t="s">
        <v>4</v>
      </c>
      <c r="DC42" t="s">
        <v>4</v>
      </c>
      <c r="DD42" t="s">
        <v>4</v>
      </c>
      <c r="DE42" t="s">
        <v>4</v>
      </c>
      <c r="DF42" t="s">
        <v>4</v>
      </c>
      <c r="EY42" t="s">
        <v>4</v>
      </c>
      <c r="EZ42" t="s">
        <v>4</v>
      </c>
      <c r="FA42" t="s">
        <v>4</v>
      </c>
      <c r="FB42" t="s">
        <v>4</v>
      </c>
      <c r="FC42" t="s">
        <v>4</v>
      </c>
      <c r="HC42" t="s">
        <v>4</v>
      </c>
      <c r="HD42" t="s">
        <v>4</v>
      </c>
      <c r="HE42" t="s">
        <v>4</v>
      </c>
      <c r="HF42" t="s">
        <v>4</v>
      </c>
      <c r="HG42" t="s">
        <v>4</v>
      </c>
      <c r="IS42" t="s">
        <v>4</v>
      </c>
      <c r="IT42" t="s">
        <v>4</v>
      </c>
      <c r="IU42" t="s">
        <v>4</v>
      </c>
      <c r="IV42" t="s">
        <v>4</v>
      </c>
      <c r="IW42" t="s">
        <v>4</v>
      </c>
      <c r="KI42" t="s">
        <v>4</v>
      </c>
      <c r="KJ42" t="s">
        <v>4</v>
      </c>
      <c r="KK42" t="s">
        <v>4</v>
      </c>
      <c r="KL42" t="s">
        <v>4</v>
      </c>
      <c r="KM42" t="s">
        <v>4</v>
      </c>
      <c r="LY42" t="s">
        <v>4</v>
      </c>
      <c r="LZ42" t="s">
        <v>4</v>
      </c>
      <c r="MA42" t="s">
        <v>4</v>
      </c>
      <c r="MB42" t="s">
        <v>4</v>
      </c>
      <c r="MC42" t="s">
        <v>4</v>
      </c>
      <c r="NE42">
        <f t="shared" ref="NE42:NE45" si="17">COUNTIF(C42:NC42, "Clinic")</f>
        <v>40</v>
      </c>
    </row>
    <row r="43" spans="1:369">
      <c r="A43" t="s">
        <v>43</v>
      </c>
      <c r="AC43" t="s">
        <v>4</v>
      </c>
      <c r="AD43" t="s">
        <v>4</v>
      </c>
      <c r="AE43" t="s">
        <v>4</v>
      </c>
      <c r="AF43" t="s">
        <v>4</v>
      </c>
      <c r="AG43" t="s">
        <v>4</v>
      </c>
      <c r="BS43" t="s">
        <v>4</v>
      </c>
      <c r="BT43" t="s">
        <v>4</v>
      </c>
      <c r="BU43" t="s">
        <v>4</v>
      </c>
      <c r="BV43" t="s">
        <v>4</v>
      </c>
      <c r="BW43" t="s">
        <v>4</v>
      </c>
      <c r="DI43" t="s">
        <v>4</v>
      </c>
      <c r="DJ43" t="s">
        <v>4</v>
      </c>
      <c r="DK43" t="s">
        <v>4</v>
      </c>
      <c r="DL43" t="s">
        <v>4</v>
      </c>
      <c r="DM43" t="s">
        <v>4</v>
      </c>
      <c r="FF43" t="s">
        <v>4</v>
      </c>
      <c r="FG43" t="s">
        <v>4</v>
      </c>
      <c r="FH43" t="s">
        <v>4</v>
      </c>
      <c r="FI43" t="s">
        <v>4</v>
      </c>
      <c r="FJ43" t="s">
        <v>4</v>
      </c>
      <c r="HJ43" t="s">
        <v>4</v>
      </c>
      <c r="HK43" t="s">
        <v>4</v>
      </c>
      <c r="HL43" t="s">
        <v>4</v>
      </c>
      <c r="HM43" t="s">
        <v>4</v>
      </c>
      <c r="HN43" t="s">
        <v>4</v>
      </c>
      <c r="IZ43" t="s">
        <v>4</v>
      </c>
      <c r="JA43" t="s">
        <v>4</v>
      </c>
      <c r="JB43" t="s">
        <v>4</v>
      </c>
      <c r="JC43" t="s">
        <v>4</v>
      </c>
      <c r="JD43" t="s">
        <v>4</v>
      </c>
      <c r="KP43" t="s">
        <v>4</v>
      </c>
      <c r="KQ43" t="s">
        <v>4</v>
      </c>
      <c r="KR43" t="s">
        <v>4</v>
      </c>
      <c r="KS43" t="s">
        <v>4</v>
      </c>
      <c r="KT43" t="s">
        <v>4</v>
      </c>
      <c r="MF43" t="s">
        <v>4</v>
      </c>
      <c r="MG43" t="s">
        <v>4</v>
      </c>
      <c r="MH43" t="s">
        <v>4</v>
      </c>
      <c r="MI43" t="s">
        <v>4</v>
      </c>
      <c r="MJ43" t="s">
        <v>4</v>
      </c>
      <c r="NE43">
        <f t="shared" si="17"/>
        <v>40</v>
      </c>
    </row>
    <row r="44" spans="1:369">
      <c r="A44" t="s">
        <v>44</v>
      </c>
      <c r="AJ44" t="s">
        <v>4</v>
      </c>
      <c r="AK44" t="s">
        <v>4</v>
      </c>
      <c r="AL44" t="s">
        <v>4</v>
      </c>
      <c r="AM44" t="s">
        <v>4</v>
      </c>
      <c r="AN44" t="s">
        <v>4</v>
      </c>
      <c r="BZ44" t="s">
        <v>4</v>
      </c>
      <c r="CA44" t="s">
        <v>4</v>
      </c>
      <c r="CB44" t="s">
        <v>4</v>
      </c>
      <c r="CC44" t="s">
        <v>4</v>
      </c>
      <c r="CD44" t="s">
        <v>4</v>
      </c>
      <c r="DP44" t="s">
        <v>4</v>
      </c>
      <c r="DQ44" t="s">
        <v>4</v>
      </c>
      <c r="DR44" t="s">
        <v>4</v>
      </c>
      <c r="DS44" t="s">
        <v>4</v>
      </c>
      <c r="DT44" t="s">
        <v>4</v>
      </c>
      <c r="FM44" t="s">
        <v>4</v>
      </c>
      <c r="FN44" t="s">
        <v>4</v>
      </c>
      <c r="FO44" t="s">
        <v>4</v>
      </c>
      <c r="FP44" t="s">
        <v>4</v>
      </c>
      <c r="FQ44" t="s">
        <v>4</v>
      </c>
      <c r="HQ44" t="s">
        <v>4</v>
      </c>
      <c r="HR44" t="s">
        <v>4</v>
      </c>
      <c r="HS44" t="s">
        <v>4</v>
      </c>
      <c r="HT44" t="s">
        <v>4</v>
      </c>
      <c r="HU44" t="s">
        <v>4</v>
      </c>
      <c r="JG44" t="s">
        <v>4</v>
      </c>
      <c r="JH44" t="s">
        <v>4</v>
      </c>
      <c r="JI44" t="s">
        <v>4</v>
      </c>
      <c r="JJ44" t="s">
        <v>4</v>
      </c>
      <c r="JK44" t="s">
        <v>4</v>
      </c>
      <c r="KW44" t="s">
        <v>4</v>
      </c>
      <c r="KX44" t="s">
        <v>4</v>
      </c>
      <c r="KY44" t="s">
        <v>4</v>
      </c>
      <c r="KZ44" t="s">
        <v>4</v>
      </c>
      <c r="LA44" t="s">
        <v>4</v>
      </c>
      <c r="MM44" t="s">
        <v>4</v>
      </c>
      <c r="MN44" t="s">
        <v>4</v>
      </c>
      <c r="MO44" t="s">
        <v>4</v>
      </c>
      <c r="MP44" t="s">
        <v>4</v>
      </c>
      <c r="MQ44" t="s">
        <v>4</v>
      </c>
      <c r="NE44">
        <f t="shared" si="17"/>
        <v>40</v>
      </c>
    </row>
    <row r="45" spans="1:369">
      <c r="A45" t="s">
        <v>45</v>
      </c>
      <c r="AQ45" t="s">
        <v>4</v>
      </c>
      <c r="AR45" t="s">
        <v>4</v>
      </c>
      <c r="AS45" t="s">
        <v>4</v>
      </c>
      <c r="AT45" t="s">
        <v>4</v>
      </c>
      <c r="AU45" t="s">
        <v>4</v>
      </c>
      <c r="CG45" t="s">
        <v>4</v>
      </c>
      <c r="CH45" t="s">
        <v>4</v>
      </c>
      <c r="CI45" t="s">
        <v>4</v>
      </c>
      <c r="CJ45" t="s">
        <v>4</v>
      </c>
      <c r="CK45" t="s">
        <v>4</v>
      </c>
      <c r="DW45" t="s">
        <v>4</v>
      </c>
      <c r="DX45" t="s">
        <v>4</v>
      </c>
      <c r="DY45" t="s">
        <v>4</v>
      </c>
      <c r="DZ45" t="s">
        <v>4</v>
      </c>
      <c r="EA45" t="s">
        <v>4</v>
      </c>
      <c r="GH45" s="12" t="s">
        <v>4</v>
      </c>
      <c r="GI45" s="12" t="s">
        <v>4</v>
      </c>
      <c r="GJ45" s="12" t="s">
        <v>4</v>
      </c>
      <c r="GK45" s="12" t="s">
        <v>4</v>
      </c>
      <c r="GL45" s="12" t="s">
        <v>4</v>
      </c>
      <c r="HX45" t="s">
        <v>4</v>
      </c>
      <c r="HY45" t="s">
        <v>4</v>
      </c>
      <c r="HZ45" t="s">
        <v>4</v>
      </c>
      <c r="IA45" t="s">
        <v>4</v>
      </c>
      <c r="IB45" t="s">
        <v>4</v>
      </c>
      <c r="JN45" t="s">
        <v>4</v>
      </c>
      <c r="JO45" t="s">
        <v>4</v>
      </c>
      <c r="JP45" t="s">
        <v>4</v>
      </c>
      <c r="JQ45" t="s">
        <v>4</v>
      </c>
      <c r="JR45" t="s">
        <v>4</v>
      </c>
      <c r="LD45" t="s">
        <v>4</v>
      </c>
      <c r="LE45" t="s">
        <v>4</v>
      </c>
      <c r="LF45" t="s">
        <v>4</v>
      </c>
      <c r="LG45" t="s">
        <v>4</v>
      </c>
      <c r="LH45" t="s">
        <v>4</v>
      </c>
      <c r="MT45" t="s">
        <v>4</v>
      </c>
      <c r="MU45" t="s">
        <v>4</v>
      </c>
      <c r="MV45" t="s">
        <v>4</v>
      </c>
      <c r="MW45" t="s">
        <v>4</v>
      </c>
      <c r="MX45" t="s">
        <v>4</v>
      </c>
      <c r="NE45">
        <f t="shared" si="17"/>
        <v>40</v>
      </c>
    </row>
    <row r="46" spans="1:369">
      <c r="A46" t="s">
        <v>46</v>
      </c>
      <c r="H46" t="s">
        <v>4</v>
      </c>
      <c r="I46" t="s">
        <v>4</v>
      </c>
      <c r="J46" t="s">
        <v>4</v>
      </c>
      <c r="K46" t="s">
        <v>4</v>
      </c>
      <c r="L46" t="s">
        <v>4</v>
      </c>
      <c r="AX46" t="s">
        <v>4</v>
      </c>
      <c r="AY46" t="s">
        <v>4</v>
      </c>
      <c r="AZ46" t="s">
        <v>4</v>
      </c>
      <c r="BA46" t="s">
        <v>4</v>
      </c>
      <c r="BB46" t="s">
        <v>4</v>
      </c>
      <c r="CN46" t="s">
        <v>4</v>
      </c>
      <c r="CO46" t="s">
        <v>4</v>
      </c>
      <c r="CP46" t="s">
        <v>4</v>
      </c>
      <c r="CQ46" t="s">
        <v>4</v>
      </c>
      <c r="CR46" t="s">
        <v>4</v>
      </c>
      <c r="ED46" t="s">
        <v>4</v>
      </c>
      <c r="EE46" t="s">
        <v>4</v>
      </c>
      <c r="EF46" t="s">
        <v>4</v>
      </c>
      <c r="EG46" t="s">
        <v>4</v>
      </c>
      <c r="EH46" t="s">
        <v>4</v>
      </c>
      <c r="GO46" t="s">
        <v>4</v>
      </c>
      <c r="GP46" t="s">
        <v>4</v>
      </c>
      <c r="GQ46" t="s">
        <v>4</v>
      </c>
      <c r="GR46" t="s">
        <v>4</v>
      </c>
      <c r="GS46" t="s">
        <v>4</v>
      </c>
      <c r="IE46" t="s">
        <v>4</v>
      </c>
      <c r="IF46" t="s">
        <v>4</v>
      </c>
      <c r="IG46" t="s">
        <v>4</v>
      </c>
      <c r="IH46" t="s">
        <v>4</v>
      </c>
      <c r="II46" t="s">
        <v>4</v>
      </c>
      <c r="JU46" t="s">
        <v>4</v>
      </c>
      <c r="JV46" t="s">
        <v>4</v>
      </c>
      <c r="JW46" t="s">
        <v>4</v>
      </c>
      <c r="JX46" t="s">
        <v>4</v>
      </c>
      <c r="JY46" t="s">
        <v>4</v>
      </c>
      <c r="LK46" t="s">
        <v>4</v>
      </c>
      <c r="LL46" t="s">
        <v>4</v>
      </c>
      <c r="LM46" t="s">
        <v>4</v>
      </c>
      <c r="LN46" t="s">
        <v>4</v>
      </c>
      <c r="LO46" t="s">
        <v>4</v>
      </c>
      <c r="NE46">
        <f>COUNTIF(C46:NC46, "Clinic")</f>
        <v>40</v>
      </c>
    </row>
    <row r="47" spans="1:369">
      <c r="A47" t="s">
        <v>47</v>
      </c>
      <c r="O47" t="s">
        <v>4</v>
      </c>
      <c r="P47" t="s">
        <v>4</v>
      </c>
      <c r="Q47" t="s">
        <v>4</v>
      </c>
      <c r="R47" t="s">
        <v>4</v>
      </c>
      <c r="S47" t="s">
        <v>4</v>
      </c>
      <c r="BE47" t="s">
        <v>4</v>
      </c>
      <c r="BF47" t="s">
        <v>4</v>
      </c>
      <c r="BG47" t="s">
        <v>4</v>
      </c>
      <c r="BH47" t="s">
        <v>4</v>
      </c>
      <c r="BI47" t="s">
        <v>4</v>
      </c>
      <c r="CU47" t="s">
        <v>4</v>
      </c>
      <c r="CV47" t="s">
        <v>4</v>
      </c>
      <c r="CW47" t="s">
        <v>4</v>
      </c>
      <c r="CX47" t="s">
        <v>4</v>
      </c>
      <c r="CY47" t="s">
        <v>4</v>
      </c>
      <c r="EK47" t="s">
        <v>4</v>
      </c>
      <c r="EL47" t="s">
        <v>4</v>
      </c>
      <c r="EM47" t="s">
        <v>4</v>
      </c>
      <c r="EN47" t="s">
        <v>4</v>
      </c>
      <c r="EO47" t="s">
        <v>4</v>
      </c>
      <c r="GV47" t="s">
        <v>4</v>
      </c>
      <c r="GW47" t="s">
        <v>4</v>
      </c>
      <c r="GX47" t="s">
        <v>4</v>
      </c>
      <c r="GY47" t="s">
        <v>4</v>
      </c>
      <c r="GZ47" t="s">
        <v>4</v>
      </c>
      <c r="IL47" t="s">
        <v>4</v>
      </c>
      <c r="IM47" t="s">
        <v>4</v>
      </c>
      <c r="IN47" t="s">
        <v>4</v>
      </c>
      <c r="IO47" t="s">
        <v>4</v>
      </c>
      <c r="IP47" t="s">
        <v>4</v>
      </c>
      <c r="KB47" t="s">
        <v>4</v>
      </c>
      <c r="KC47" t="s">
        <v>4</v>
      </c>
      <c r="KD47" t="s">
        <v>4</v>
      </c>
      <c r="KE47" t="s">
        <v>4</v>
      </c>
      <c r="KF47" t="s">
        <v>4</v>
      </c>
      <c r="LR47" t="s">
        <v>4</v>
      </c>
      <c r="LS47" t="s">
        <v>4</v>
      </c>
      <c r="LT47" t="s">
        <v>4</v>
      </c>
      <c r="LU47" t="s">
        <v>4</v>
      </c>
      <c r="LV47" t="s">
        <v>4</v>
      </c>
      <c r="NE47">
        <f>COUNTIF(C47:NC47, "Clinic")</f>
        <v>40</v>
      </c>
    </row>
    <row r="48" spans="1:369">
      <c r="A48" t="s">
        <v>48</v>
      </c>
      <c r="V48" t="s">
        <v>4</v>
      </c>
      <c r="W48" t="s">
        <v>4</v>
      </c>
      <c r="X48" t="s">
        <v>4</v>
      </c>
      <c r="Y48" t="s">
        <v>4</v>
      </c>
      <c r="Z48" t="s">
        <v>4</v>
      </c>
      <c r="BL48" t="s">
        <v>4</v>
      </c>
      <c r="BM48" t="s">
        <v>4</v>
      </c>
      <c r="BN48" t="s">
        <v>4</v>
      </c>
      <c r="BO48" t="s">
        <v>4</v>
      </c>
      <c r="BP48" t="s">
        <v>4</v>
      </c>
      <c r="DB48" t="s">
        <v>4</v>
      </c>
      <c r="DC48" t="s">
        <v>4</v>
      </c>
      <c r="DD48" t="s">
        <v>4</v>
      </c>
      <c r="DE48" t="s">
        <v>4</v>
      </c>
      <c r="DF48" t="s">
        <v>4</v>
      </c>
      <c r="EY48" t="s">
        <v>4</v>
      </c>
      <c r="EZ48" t="s">
        <v>4</v>
      </c>
      <c r="FA48" t="s">
        <v>4</v>
      </c>
      <c r="FB48" t="s">
        <v>4</v>
      </c>
      <c r="FC48" t="s">
        <v>4</v>
      </c>
      <c r="HC48" t="s">
        <v>4</v>
      </c>
      <c r="HD48" t="s">
        <v>4</v>
      </c>
      <c r="HE48" t="s">
        <v>4</v>
      </c>
      <c r="HF48" t="s">
        <v>4</v>
      </c>
      <c r="HG48" t="s">
        <v>4</v>
      </c>
      <c r="IS48" t="s">
        <v>4</v>
      </c>
      <c r="IT48" t="s">
        <v>4</v>
      </c>
      <c r="IU48" t="s">
        <v>4</v>
      </c>
      <c r="IV48" t="s">
        <v>4</v>
      </c>
      <c r="IW48" t="s">
        <v>4</v>
      </c>
      <c r="KI48" t="s">
        <v>4</v>
      </c>
      <c r="KJ48" t="s">
        <v>4</v>
      </c>
      <c r="KK48" t="s">
        <v>4</v>
      </c>
      <c r="KL48" t="s">
        <v>4</v>
      </c>
      <c r="KM48" t="s">
        <v>4</v>
      </c>
      <c r="LY48" t="s">
        <v>4</v>
      </c>
      <c r="LZ48" t="s">
        <v>4</v>
      </c>
      <c r="MA48" t="s">
        <v>4</v>
      </c>
      <c r="MB48" t="s">
        <v>4</v>
      </c>
      <c r="MC48" t="s">
        <v>4</v>
      </c>
      <c r="NE48">
        <f t="shared" ref="NE48:NE51" si="18">COUNTIF(C48:NC48, "Clinic")</f>
        <v>40</v>
      </c>
    </row>
    <row r="49" spans="1:369">
      <c r="A49" t="s">
        <v>49</v>
      </c>
      <c r="AC49" t="s">
        <v>4</v>
      </c>
      <c r="AD49" t="s">
        <v>4</v>
      </c>
      <c r="AE49" t="s">
        <v>4</v>
      </c>
      <c r="AF49" t="s">
        <v>4</v>
      </c>
      <c r="AG49" t="s">
        <v>4</v>
      </c>
      <c r="BS49" t="s">
        <v>4</v>
      </c>
      <c r="BT49" t="s">
        <v>4</v>
      </c>
      <c r="BU49" t="s">
        <v>4</v>
      </c>
      <c r="BV49" t="s">
        <v>4</v>
      </c>
      <c r="BW49" t="s">
        <v>4</v>
      </c>
      <c r="DI49" t="s">
        <v>4</v>
      </c>
      <c r="DJ49" t="s">
        <v>4</v>
      </c>
      <c r="DK49" t="s">
        <v>4</v>
      </c>
      <c r="DL49" t="s">
        <v>4</v>
      </c>
      <c r="DM49" t="s">
        <v>4</v>
      </c>
      <c r="FF49" t="s">
        <v>4</v>
      </c>
      <c r="FG49" t="s">
        <v>4</v>
      </c>
      <c r="FH49" t="s">
        <v>4</v>
      </c>
      <c r="FI49" t="s">
        <v>4</v>
      </c>
      <c r="FJ49" t="s">
        <v>4</v>
      </c>
      <c r="HJ49" t="s">
        <v>4</v>
      </c>
      <c r="HK49" t="s">
        <v>4</v>
      </c>
      <c r="HL49" t="s">
        <v>4</v>
      </c>
      <c r="HM49" t="s">
        <v>4</v>
      </c>
      <c r="HN49" t="s">
        <v>4</v>
      </c>
      <c r="IZ49" t="s">
        <v>4</v>
      </c>
      <c r="JA49" t="s">
        <v>4</v>
      </c>
      <c r="JB49" t="s">
        <v>4</v>
      </c>
      <c r="JC49" t="s">
        <v>4</v>
      </c>
      <c r="JD49" t="s">
        <v>4</v>
      </c>
      <c r="KP49" t="s">
        <v>4</v>
      </c>
      <c r="KQ49" t="s">
        <v>4</v>
      </c>
      <c r="KR49" t="s">
        <v>4</v>
      </c>
      <c r="KS49" t="s">
        <v>4</v>
      </c>
      <c r="KT49" t="s">
        <v>4</v>
      </c>
      <c r="MF49" t="s">
        <v>4</v>
      </c>
      <c r="MG49" t="s">
        <v>4</v>
      </c>
      <c r="MH49" t="s">
        <v>4</v>
      </c>
      <c r="MI49" t="s">
        <v>4</v>
      </c>
      <c r="MJ49" t="s">
        <v>4</v>
      </c>
      <c r="NE49">
        <f t="shared" si="18"/>
        <v>40</v>
      </c>
    </row>
    <row r="50" spans="1:369">
      <c r="A50" t="s">
        <v>50</v>
      </c>
      <c r="AJ50" t="s">
        <v>4</v>
      </c>
      <c r="AK50" t="s">
        <v>4</v>
      </c>
      <c r="AL50" t="s">
        <v>4</v>
      </c>
      <c r="AM50" t="s">
        <v>4</v>
      </c>
      <c r="AN50" t="s">
        <v>4</v>
      </c>
      <c r="BZ50" t="s">
        <v>4</v>
      </c>
      <c r="CA50" t="s">
        <v>4</v>
      </c>
      <c r="CB50" t="s">
        <v>4</v>
      </c>
      <c r="CC50" t="s">
        <v>4</v>
      </c>
      <c r="CD50" t="s">
        <v>4</v>
      </c>
      <c r="DP50" t="s">
        <v>4</v>
      </c>
      <c r="DQ50" t="s">
        <v>4</v>
      </c>
      <c r="DR50" t="s">
        <v>4</v>
      </c>
      <c r="DS50" t="s">
        <v>4</v>
      </c>
      <c r="DT50" t="s">
        <v>4</v>
      </c>
      <c r="FM50" t="s">
        <v>4</v>
      </c>
      <c r="FN50" t="s">
        <v>4</v>
      </c>
      <c r="FO50" t="s">
        <v>4</v>
      </c>
      <c r="FP50" t="s">
        <v>4</v>
      </c>
      <c r="FQ50" t="s">
        <v>4</v>
      </c>
      <c r="HQ50" t="s">
        <v>4</v>
      </c>
      <c r="HR50" t="s">
        <v>4</v>
      </c>
      <c r="HS50" t="s">
        <v>4</v>
      </c>
      <c r="HT50" t="s">
        <v>4</v>
      </c>
      <c r="HU50" t="s">
        <v>4</v>
      </c>
      <c r="JG50" t="s">
        <v>4</v>
      </c>
      <c r="JH50" t="s">
        <v>4</v>
      </c>
      <c r="JI50" t="s">
        <v>4</v>
      </c>
      <c r="JJ50" t="s">
        <v>4</v>
      </c>
      <c r="JK50" t="s">
        <v>4</v>
      </c>
      <c r="KW50" t="s">
        <v>4</v>
      </c>
      <c r="KX50" t="s">
        <v>4</v>
      </c>
      <c r="KY50" t="s">
        <v>4</v>
      </c>
      <c r="KZ50" t="s">
        <v>4</v>
      </c>
      <c r="LA50" t="s">
        <v>4</v>
      </c>
      <c r="MM50" t="s">
        <v>4</v>
      </c>
      <c r="MN50" t="s">
        <v>4</v>
      </c>
      <c r="MO50" t="s">
        <v>4</v>
      </c>
      <c r="MP50" t="s">
        <v>4</v>
      </c>
      <c r="MQ50" t="s">
        <v>4</v>
      </c>
      <c r="NE50">
        <f t="shared" si="18"/>
        <v>40</v>
      </c>
    </row>
    <row r="51" spans="1:369">
      <c r="A51" t="s">
        <v>51</v>
      </c>
      <c r="AQ51" t="s">
        <v>4</v>
      </c>
      <c r="AR51" t="s">
        <v>4</v>
      </c>
      <c r="AS51" t="s">
        <v>4</v>
      </c>
      <c r="AT51" t="s">
        <v>4</v>
      </c>
      <c r="AU51" t="s">
        <v>4</v>
      </c>
      <c r="CG51" t="s">
        <v>4</v>
      </c>
      <c r="CH51" t="s">
        <v>4</v>
      </c>
      <c r="CI51" t="s">
        <v>4</v>
      </c>
      <c r="CJ51" t="s">
        <v>4</v>
      </c>
      <c r="CK51" t="s">
        <v>4</v>
      </c>
      <c r="DW51" t="s">
        <v>4</v>
      </c>
      <c r="DX51" t="s">
        <v>4</v>
      </c>
      <c r="DY51" t="s">
        <v>4</v>
      </c>
      <c r="DZ51" t="s">
        <v>4</v>
      </c>
      <c r="EA51" t="s">
        <v>4</v>
      </c>
      <c r="GH51" s="12" t="s">
        <v>4</v>
      </c>
      <c r="GI51" s="12" t="s">
        <v>4</v>
      </c>
      <c r="GJ51" s="12" t="s">
        <v>4</v>
      </c>
      <c r="GK51" s="12" t="s">
        <v>4</v>
      </c>
      <c r="GL51" s="12" t="s">
        <v>4</v>
      </c>
      <c r="HX51" t="s">
        <v>4</v>
      </c>
      <c r="HY51" t="s">
        <v>4</v>
      </c>
      <c r="HZ51" t="s">
        <v>4</v>
      </c>
      <c r="IA51" t="s">
        <v>4</v>
      </c>
      <c r="IB51" t="s">
        <v>4</v>
      </c>
      <c r="JN51" t="s">
        <v>4</v>
      </c>
      <c r="JO51" t="s">
        <v>4</v>
      </c>
      <c r="JP51" t="s">
        <v>4</v>
      </c>
      <c r="JQ51" t="s">
        <v>4</v>
      </c>
      <c r="JR51" t="s">
        <v>4</v>
      </c>
      <c r="LD51" t="s">
        <v>4</v>
      </c>
      <c r="LE51" t="s">
        <v>4</v>
      </c>
      <c r="LF51" t="s">
        <v>4</v>
      </c>
      <c r="LG51" t="s">
        <v>4</v>
      </c>
      <c r="LH51" t="s">
        <v>4</v>
      </c>
      <c r="MT51" t="s">
        <v>4</v>
      </c>
      <c r="MU51" t="s">
        <v>4</v>
      </c>
      <c r="MV51" t="s">
        <v>4</v>
      </c>
      <c r="MW51" t="s">
        <v>4</v>
      </c>
      <c r="MX51" t="s">
        <v>4</v>
      </c>
      <c r="NE51">
        <f t="shared" si="18"/>
        <v>40</v>
      </c>
    </row>
    <row r="52" spans="1:369">
      <c r="A52" t="s">
        <v>52</v>
      </c>
      <c r="H52" t="s">
        <v>4</v>
      </c>
      <c r="I52" t="s">
        <v>4</v>
      </c>
      <c r="J52" t="s">
        <v>4</v>
      </c>
      <c r="K52" t="s">
        <v>4</v>
      </c>
      <c r="L52" t="s">
        <v>4</v>
      </c>
      <c r="AX52" t="s">
        <v>4</v>
      </c>
      <c r="AY52" t="s">
        <v>4</v>
      </c>
      <c r="AZ52" t="s">
        <v>4</v>
      </c>
      <c r="BA52" t="s">
        <v>4</v>
      </c>
      <c r="BB52" t="s">
        <v>4</v>
      </c>
      <c r="CN52" t="s">
        <v>4</v>
      </c>
      <c r="CO52" t="s">
        <v>4</v>
      </c>
      <c r="CP52" t="s">
        <v>4</v>
      </c>
      <c r="CQ52" t="s">
        <v>4</v>
      </c>
      <c r="CR52" t="s">
        <v>4</v>
      </c>
      <c r="ED52" t="s">
        <v>4</v>
      </c>
      <c r="EE52" t="s">
        <v>4</v>
      </c>
      <c r="EF52" t="s">
        <v>4</v>
      </c>
      <c r="EG52" t="s">
        <v>4</v>
      </c>
      <c r="EH52" t="s">
        <v>4</v>
      </c>
      <c r="GO52" t="s">
        <v>4</v>
      </c>
      <c r="GP52" t="s">
        <v>4</v>
      </c>
      <c r="GQ52" t="s">
        <v>4</v>
      </c>
      <c r="GR52" t="s">
        <v>4</v>
      </c>
      <c r="GS52" t="s">
        <v>4</v>
      </c>
      <c r="IE52" t="s">
        <v>4</v>
      </c>
      <c r="IF52" t="s">
        <v>4</v>
      </c>
      <c r="IG52" t="s">
        <v>4</v>
      </c>
      <c r="IH52" t="s">
        <v>4</v>
      </c>
      <c r="II52" t="s">
        <v>4</v>
      </c>
      <c r="JU52" t="s">
        <v>4</v>
      </c>
      <c r="JV52" t="s">
        <v>4</v>
      </c>
      <c r="JW52" t="s">
        <v>4</v>
      </c>
      <c r="JX52" t="s">
        <v>4</v>
      </c>
      <c r="JY52" t="s">
        <v>4</v>
      </c>
      <c r="LK52" t="s">
        <v>4</v>
      </c>
      <c r="LL52" t="s">
        <v>4</v>
      </c>
      <c r="LM52" t="s">
        <v>4</v>
      </c>
      <c r="LN52" t="s">
        <v>4</v>
      </c>
      <c r="LO52" t="s">
        <v>4</v>
      </c>
      <c r="NE52">
        <f>COUNTIF(C52:NC52, "Clinic")</f>
        <v>40</v>
      </c>
    </row>
    <row r="53" spans="1:369">
      <c r="A53" t="s">
        <v>53</v>
      </c>
      <c r="O53" t="s">
        <v>4</v>
      </c>
      <c r="P53" t="s">
        <v>4</v>
      </c>
      <c r="Q53" t="s">
        <v>4</v>
      </c>
      <c r="R53" t="s">
        <v>4</v>
      </c>
      <c r="S53" t="s">
        <v>4</v>
      </c>
      <c r="BE53" t="s">
        <v>4</v>
      </c>
      <c r="BF53" t="s">
        <v>4</v>
      </c>
      <c r="BG53" t="s">
        <v>4</v>
      </c>
      <c r="BH53" t="s">
        <v>4</v>
      </c>
      <c r="BI53" t="s">
        <v>4</v>
      </c>
      <c r="CU53" t="s">
        <v>4</v>
      </c>
      <c r="CV53" t="s">
        <v>4</v>
      </c>
      <c r="CW53" t="s">
        <v>4</v>
      </c>
      <c r="CX53" t="s">
        <v>4</v>
      </c>
      <c r="CY53" t="s">
        <v>4</v>
      </c>
      <c r="EK53" t="s">
        <v>4</v>
      </c>
      <c r="EL53" t="s">
        <v>4</v>
      </c>
      <c r="EM53" t="s">
        <v>4</v>
      </c>
      <c r="EN53" t="s">
        <v>4</v>
      </c>
      <c r="EO53" t="s">
        <v>4</v>
      </c>
      <c r="GV53" t="s">
        <v>4</v>
      </c>
      <c r="GW53" t="s">
        <v>4</v>
      </c>
      <c r="GX53" t="s">
        <v>4</v>
      </c>
      <c r="GY53" t="s">
        <v>4</v>
      </c>
      <c r="GZ53" t="s">
        <v>4</v>
      </c>
      <c r="IL53" t="s">
        <v>4</v>
      </c>
      <c r="IM53" t="s">
        <v>4</v>
      </c>
      <c r="IN53" t="s">
        <v>4</v>
      </c>
      <c r="IO53" t="s">
        <v>4</v>
      </c>
      <c r="IP53" t="s">
        <v>4</v>
      </c>
      <c r="KB53" t="s">
        <v>4</v>
      </c>
      <c r="KC53" t="s">
        <v>4</v>
      </c>
      <c r="KD53" t="s">
        <v>4</v>
      </c>
      <c r="KE53" t="s">
        <v>4</v>
      </c>
      <c r="KF53" t="s">
        <v>4</v>
      </c>
      <c r="LR53" t="s">
        <v>4</v>
      </c>
      <c r="LS53" t="s">
        <v>4</v>
      </c>
      <c r="LT53" t="s">
        <v>4</v>
      </c>
      <c r="LU53" t="s">
        <v>4</v>
      </c>
      <c r="LV53" t="s">
        <v>4</v>
      </c>
      <c r="NE53">
        <f>COUNTIF(C53:NC53, "Clinic")</f>
        <v>40</v>
      </c>
    </row>
    <row r="54" spans="1:369">
      <c r="A54" t="s">
        <v>54</v>
      </c>
      <c r="V54" t="s">
        <v>4</v>
      </c>
      <c r="W54" t="s">
        <v>4</v>
      </c>
      <c r="X54" t="s">
        <v>4</v>
      </c>
      <c r="Y54" t="s">
        <v>4</v>
      </c>
      <c r="Z54" t="s">
        <v>4</v>
      </c>
      <c r="BL54" t="s">
        <v>4</v>
      </c>
      <c r="BM54" t="s">
        <v>4</v>
      </c>
      <c r="BN54" t="s">
        <v>4</v>
      </c>
      <c r="BO54" t="s">
        <v>4</v>
      </c>
      <c r="BP54" t="s">
        <v>4</v>
      </c>
      <c r="DB54" t="s">
        <v>4</v>
      </c>
      <c r="DC54" t="s">
        <v>4</v>
      </c>
      <c r="DD54" t="s">
        <v>4</v>
      </c>
      <c r="DE54" t="s">
        <v>4</v>
      </c>
      <c r="DF54" t="s">
        <v>4</v>
      </c>
      <c r="EY54" t="s">
        <v>4</v>
      </c>
      <c r="EZ54" t="s">
        <v>4</v>
      </c>
      <c r="FA54" t="s">
        <v>4</v>
      </c>
      <c r="FB54" t="s">
        <v>4</v>
      </c>
      <c r="FC54" t="s">
        <v>4</v>
      </c>
      <c r="HC54" t="s">
        <v>4</v>
      </c>
      <c r="HD54" t="s">
        <v>4</v>
      </c>
      <c r="HE54" t="s">
        <v>4</v>
      </c>
      <c r="HF54" t="s">
        <v>4</v>
      </c>
      <c r="HG54" t="s">
        <v>4</v>
      </c>
      <c r="IS54" t="s">
        <v>4</v>
      </c>
      <c r="IT54" t="s">
        <v>4</v>
      </c>
      <c r="IU54" t="s">
        <v>4</v>
      </c>
      <c r="IV54" t="s">
        <v>4</v>
      </c>
      <c r="IW54" t="s">
        <v>4</v>
      </c>
      <c r="KI54" t="s">
        <v>4</v>
      </c>
      <c r="KJ54" t="s">
        <v>4</v>
      </c>
      <c r="KK54" t="s">
        <v>4</v>
      </c>
      <c r="KL54" t="s">
        <v>4</v>
      </c>
      <c r="KM54" t="s">
        <v>4</v>
      </c>
      <c r="LY54" t="s">
        <v>4</v>
      </c>
      <c r="LZ54" t="s">
        <v>4</v>
      </c>
      <c r="MA54" t="s">
        <v>4</v>
      </c>
      <c r="MB54" t="s">
        <v>4</v>
      </c>
      <c r="MC54" t="s">
        <v>4</v>
      </c>
      <c r="NE54">
        <f t="shared" ref="NE54:NE57" si="19">COUNTIF(C54:NC54, "Clinic")</f>
        <v>40</v>
      </c>
    </row>
    <row r="55" spans="1:369">
      <c r="A55" t="s">
        <v>55</v>
      </c>
      <c r="AC55" t="s">
        <v>4</v>
      </c>
      <c r="AD55" t="s">
        <v>4</v>
      </c>
      <c r="AE55" t="s">
        <v>4</v>
      </c>
      <c r="AF55" t="s">
        <v>4</v>
      </c>
      <c r="AG55" t="s">
        <v>4</v>
      </c>
      <c r="BS55" t="s">
        <v>4</v>
      </c>
      <c r="BT55" t="s">
        <v>4</v>
      </c>
      <c r="BU55" t="s">
        <v>4</v>
      </c>
      <c r="BV55" t="s">
        <v>4</v>
      </c>
      <c r="BW55" t="s">
        <v>4</v>
      </c>
      <c r="DI55" t="s">
        <v>4</v>
      </c>
      <c r="DJ55" t="s">
        <v>4</v>
      </c>
      <c r="DK55" t="s">
        <v>4</v>
      </c>
      <c r="DL55" t="s">
        <v>4</v>
      </c>
      <c r="DM55" t="s">
        <v>4</v>
      </c>
      <c r="FF55" t="s">
        <v>4</v>
      </c>
      <c r="FG55" t="s">
        <v>4</v>
      </c>
      <c r="FH55" t="s">
        <v>4</v>
      </c>
      <c r="FI55" t="s">
        <v>4</v>
      </c>
      <c r="FJ55" t="s">
        <v>4</v>
      </c>
      <c r="HJ55" t="s">
        <v>4</v>
      </c>
      <c r="HK55" t="s">
        <v>4</v>
      </c>
      <c r="HL55" t="s">
        <v>4</v>
      </c>
      <c r="HM55" t="s">
        <v>4</v>
      </c>
      <c r="HN55" t="s">
        <v>4</v>
      </c>
      <c r="IZ55" t="s">
        <v>4</v>
      </c>
      <c r="JA55" t="s">
        <v>4</v>
      </c>
      <c r="JB55" t="s">
        <v>4</v>
      </c>
      <c r="JC55" t="s">
        <v>4</v>
      </c>
      <c r="JD55" t="s">
        <v>4</v>
      </c>
      <c r="KP55" t="s">
        <v>4</v>
      </c>
      <c r="KQ55" t="s">
        <v>4</v>
      </c>
      <c r="KR55" t="s">
        <v>4</v>
      </c>
      <c r="KS55" t="s">
        <v>4</v>
      </c>
      <c r="KT55" t="s">
        <v>4</v>
      </c>
      <c r="MF55" t="s">
        <v>4</v>
      </c>
      <c r="MG55" t="s">
        <v>4</v>
      </c>
      <c r="MH55" t="s">
        <v>4</v>
      </c>
      <c r="MI55" t="s">
        <v>4</v>
      </c>
      <c r="MJ55" t="s">
        <v>4</v>
      </c>
      <c r="NE55">
        <f t="shared" si="19"/>
        <v>40</v>
      </c>
    </row>
    <row r="56" spans="1:369">
      <c r="A56" t="s">
        <v>56</v>
      </c>
      <c r="AJ56" t="s">
        <v>4</v>
      </c>
      <c r="AK56" t="s">
        <v>4</v>
      </c>
      <c r="AL56" t="s">
        <v>4</v>
      </c>
      <c r="AM56" t="s">
        <v>4</v>
      </c>
      <c r="AN56" t="s">
        <v>4</v>
      </c>
      <c r="BZ56" t="s">
        <v>4</v>
      </c>
      <c r="CA56" t="s">
        <v>4</v>
      </c>
      <c r="CB56" t="s">
        <v>4</v>
      </c>
      <c r="CC56" t="s">
        <v>4</v>
      </c>
      <c r="CD56" t="s">
        <v>4</v>
      </c>
      <c r="DP56" t="s">
        <v>4</v>
      </c>
      <c r="DQ56" t="s">
        <v>4</v>
      </c>
      <c r="DR56" t="s">
        <v>4</v>
      </c>
      <c r="DS56" t="s">
        <v>4</v>
      </c>
      <c r="DT56" t="s">
        <v>4</v>
      </c>
      <c r="FM56" t="s">
        <v>4</v>
      </c>
      <c r="FN56" t="s">
        <v>4</v>
      </c>
      <c r="FO56" t="s">
        <v>4</v>
      </c>
      <c r="FP56" t="s">
        <v>4</v>
      </c>
      <c r="FQ56" t="s">
        <v>4</v>
      </c>
      <c r="HQ56" t="s">
        <v>4</v>
      </c>
      <c r="HR56" t="s">
        <v>4</v>
      </c>
      <c r="HS56" t="s">
        <v>4</v>
      </c>
      <c r="HT56" t="s">
        <v>4</v>
      </c>
      <c r="HU56" t="s">
        <v>4</v>
      </c>
      <c r="JG56" t="s">
        <v>4</v>
      </c>
      <c r="JH56" t="s">
        <v>4</v>
      </c>
      <c r="JI56" t="s">
        <v>4</v>
      </c>
      <c r="JJ56" t="s">
        <v>4</v>
      </c>
      <c r="JK56" t="s">
        <v>4</v>
      </c>
      <c r="KW56" t="s">
        <v>4</v>
      </c>
      <c r="KX56" t="s">
        <v>4</v>
      </c>
      <c r="KY56" t="s">
        <v>4</v>
      </c>
      <c r="KZ56" t="s">
        <v>4</v>
      </c>
      <c r="LA56" t="s">
        <v>4</v>
      </c>
      <c r="MM56" t="s">
        <v>4</v>
      </c>
      <c r="MN56" t="s">
        <v>4</v>
      </c>
      <c r="MO56" t="s">
        <v>4</v>
      </c>
      <c r="MP56" t="s">
        <v>4</v>
      </c>
      <c r="MQ56" t="s">
        <v>4</v>
      </c>
      <c r="NE56">
        <f t="shared" si="19"/>
        <v>40</v>
      </c>
    </row>
    <row r="57" spans="1:369">
      <c r="A57" t="s">
        <v>57</v>
      </c>
      <c r="AQ57" t="s">
        <v>4</v>
      </c>
      <c r="AR57" t="s">
        <v>4</v>
      </c>
      <c r="AS57" t="s">
        <v>4</v>
      </c>
      <c r="AT57" t="s">
        <v>4</v>
      </c>
      <c r="AU57" t="s">
        <v>4</v>
      </c>
      <c r="CG57" t="s">
        <v>4</v>
      </c>
      <c r="CH57" t="s">
        <v>4</v>
      </c>
      <c r="CI57" t="s">
        <v>4</v>
      </c>
      <c r="CJ57" t="s">
        <v>4</v>
      </c>
      <c r="CK57" t="s">
        <v>4</v>
      </c>
      <c r="DW57" t="s">
        <v>4</v>
      </c>
      <c r="DX57" t="s">
        <v>4</v>
      </c>
      <c r="DY57" t="s">
        <v>4</v>
      </c>
      <c r="DZ57" t="s">
        <v>4</v>
      </c>
      <c r="EA57" t="s">
        <v>4</v>
      </c>
      <c r="GH57" s="12" t="s">
        <v>4</v>
      </c>
      <c r="GI57" s="12" t="s">
        <v>4</v>
      </c>
      <c r="GJ57" s="12" t="s">
        <v>4</v>
      </c>
      <c r="GK57" s="12" t="s">
        <v>4</v>
      </c>
      <c r="GL57" s="12" t="s">
        <v>4</v>
      </c>
      <c r="HX57" t="s">
        <v>4</v>
      </c>
      <c r="HY57" t="s">
        <v>4</v>
      </c>
      <c r="HZ57" t="s">
        <v>4</v>
      </c>
      <c r="IA57" t="s">
        <v>4</v>
      </c>
      <c r="IB57" t="s">
        <v>4</v>
      </c>
      <c r="JN57" t="s">
        <v>4</v>
      </c>
      <c r="JO57" t="s">
        <v>4</v>
      </c>
      <c r="JP57" t="s">
        <v>4</v>
      </c>
      <c r="JQ57" t="s">
        <v>4</v>
      </c>
      <c r="JR57" t="s">
        <v>4</v>
      </c>
      <c r="LD57" t="s">
        <v>4</v>
      </c>
      <c r="LE57" t="s">
        <v>4</v>
      </c>
      <c r="LF57" t="s">
        <v>4</v>
      </c>
      <c r="LG57" t="s">
        <v>4</v>
      </c>
      <c r="LH57" t="s">
        <v>4</v>
      </c>
      <c r="MT57" t="s">
        <v>4</v>
      </c>
      <c r="MU57" t="s">
        <v>4</v>
      </c>
      <c r="MV57" t="s">
        <v>4</v>
      </c>
      <c r="MW57" t="s">
        <v>4</v>
      </c>
      <c r="MX57" t="s">
        <v>4</v>
      </c>
      <c r="NE57">
        <f t="shared" si="19"/>
        <v>40</v>
      </c>
    </row>
    <row r="58" spans="1:369">
      <c r="A58" t="s">
        <v>58</v>
      </c>
      <c r="H58" t="s">
        <v>4</v>
      </c>
      <c r="I58" t="s">
        <v>4</v>
      </c>
      <c r="J58" t="s">
        <v>4</v>
      </c>
      <c r="K58" t="s">
        <v>4</v>
      </c>
      <c r="L58" t="s">
        <v>4</v>
      </c>
      <c r="AX58" t="s">
        <v>4</v>
      </c>
      <c r="AY58" t="s">
        <v>4</v>
      </c>
      <c r="AZ58" t="s">
        <v>4</v>
      </c>
      <c r="BA58" t="s">
        <v>4</v>
      </c>
      <c r="BB58" t="s">
        <v>4</v>
      </c>
      <c r="CN58" t="s">
        <v>4</v>
      </c>
      <c r="CO58" t="s">
        <v>4</v>
      </c>
      <c r="CP58" t="s">
        <v>4</v>
      </c>
      <c r="CQ58" t="s">
        <v>4</v>
      </c>
      <c r="CR58" t="s">
        <v>4</v>
      </c>
      <c r="ED58" t="s">
        <v>4</v>
      </c>
      <c r="EE58" t="s">
        <v>4</v>
      </c>
      <c r="EF58" t="s">
        <v>4</v>
      </c>
      <c r="EG58" t="s">
        <v>4</v>
      </c>
      <c r="EH58" t="s">
        <v>4</v>
      </c>
      <c r="GO58" t="s">
        <v>4</v>
      </c>
      <c r="GP58" t="s">
        <v>4</v>
      </c>
      <c r="GQ58" t="s">
        <v>4</v>
      </c>
      <c r="GR58" t="s">
        <v>4</v>
      </c>
      <c r="GS58" t="s">
        <v>4</v>
      </c>
      <c r="IE58" t="s">
        <v>4</v>
      </c>
      <c r="IF58" t="s">
        <v>4</v>
      </c>
      <c r="IG58" t="s">
        <v>4</v>
      </c>
      <c r="IH58" t="s">
        <v>4</v>
      </c>
      <c r="II58" t="s">
        <v>4</v>
      </c>
      <c r="JU58" t="s">
        <v>4</v>
      </c>
      <c r="JV58" t="s">
        <v>4</v>
      </c>
      <c r="JW58" t="s">
        <v>4</v>
      </c>
      <c r="JX58" t="s">
        <v>4</v>
      </c>
      <c r="JY58" t="s">
        <v>4</v>
      </c>
      <c r="LK58" t="s">
        <v>4</v>
      </c>
      <c r="LL58" t="s">
        <v>4</v>
      </c>
      <c r="LM58" t="s">
        <v>4</v>
      </c>
      <c r="LN58" t="s">
        <v>4</v>
      </c>
      <c r="LO58" t="s">
        <v>4</v>
      </c>
      <c r="NE58">
        <f>COUNTIF(C58:NC58, "Clinic")</f>
        <v>40</v>
      </c>
    </row>
    <row r="59" spans="1:369">
      <c r="A59" t="s">
        <v>59</v>
      </c>
      <c r="O59" t="s">
        <v>4</v>
      </c>
      <c r="P59" t="s">
        <v>4</v>
      </c>
      <c r="Q59" t="s">
        <v>4</v>
      </c>
      <c r="R59" t="s">
        <v>4</v>
      </c>
      <c r="S59" t="s">
        <v>4</v>
      </c>
      <c r="BE59" t="s">
        <v>4</v>
      </c>
      <c r="BF59" t="s">
        <v>4</v>
      </c>
      <c r="BG59" t="s">
        <v>4</v>
      </c>
      <c r="BH59" t="s">
        <v>4</v>
      </c>
      <c r="BI59" t="s">
        <v>4</v>
      </c>
      <c r="CU59" t="s">
        <v>4</v>
      </c>
      <c r="CV59" t="s">
        <v>4</v>
      </c>
      <c r="CW59" t="s">
        <v>4</v>
      </c>
      <c r="CX59" t="s">
        <v>4</v>
      </c>
      <c r="CY59" t="s">
        <v>4</v>
      </c>
      <c r="EK59" t="s">
        <v>4</v>
      </c>
      <c r="EL59" t="s">
        <v>4</v>
      </c>
      <c r="EM59" t="s">
        <v>4</v>
      </c>
      <c r="EN59" t="s">
        <v>4</v>
      </c>
      <c r="EO59" t="s">
        <v>4</v>
      </c>
      <c r="GV59" t="s">
        <v>4</v>
      </c>
      <c r="GW59" t="s">
        <v>4</v>
      </c>
      <c r="GX59" t="s">
        <v>4</v>
      </c>
      <c r="GY59" t="s">
        <v>4</v>
      </c>
      <c r="GZ59" t="s">
        <v>4</v>
      </c>
      <c r="IL59" t="s">
        <v>4</v>
      </c>
      <c r="IM59" t="s">
        <v>4</v>
      </c>
      <c r="IN59" t="s">
        <v>4</v>
      </c>
      <c r="IO59" t="s">
        <v>4</v>
      </c>
      <c r="IP59" t="s">
        <v>4</v>
      </c>
      <c r="KB59" t="s">
        <v>4</v>
      </c>
      <c r="KC59" t="s">
        <v>4</v>
      </c>
      <c r="KD59" t="s">
        <v>4</v>
      </c>
      <c r="KE59" t="s">
        <v>4</v>
      </c>
      <c r="KF59" t="s">
        <v>4</v>
      </c>
      <c r="LR59" t="s">
        <v>4</v>
      </c>
      <c r="LS59" t="s">
        <v>4</v>
      </c>
      <c r="LT59" t="s">
        <v>4</v>
      </c>
      <c r="LU59" t="s">
        <v>4</v>
      </c>
      <c r="LV59" t="s">
        <v>4</v>
      </c>
      <c r="NE59">
        <f>COUNTIF(C59:NC59, "Clinic")</f>
        <v>40</v>
      </c>
    </row>
    <row r="60" spans="1:369">
      <c r="A60" t="s">
        <v>60</v>
      </c>
      <c r="V60" t="s">
        <v>4</v>
      </c>
      <c r="W60" t="s">
        <v>4</v>
      </c>
      <c r="X60" t="s">
        <v>4</v>
      </c>
      <c r="Y60" t="s">
        <v>4</v>
      </c>
      <c r="Z60" t="s">
        <v>4</v>
      </c>
      <c r="BL60" t="s">
        <v>4</v>
      </c>
      <c r="BM60" t="s">
        <v>4</v>
      </c>
      <c r="BN60" t="s">
        <v>4</v>
      </c>
      <c r="BO60" t="s">
        <v>4</v>
      </c>
      <c r="BP60" t="s">
        <v>4</v>
      </c>
      <c r="DB60" t="s">
        <v>4</v>
      </c>
      <c r="DC60" t="s">
        <v>4</v>
      </c>
      <c r="DD60" t="s">
        <v>4</v>
      </c>
      <c r="DE60" t="s">
        <v>4</v>
      </c>
      <c r="DF60" t="s">
        <v>4</v>
      </c>
      <c r="EY60" t="s">
        <v>4</v>
      </c>
      <c r="EZ60" t="s">
        <v>4</v>
      </c>
      <c r="FA60" t="s">
        <v>4</v>
      </c>
      <c r="FB60" t="s">
        <v>4</v>
      </c>
      <c r="FC60" t="s">
        <v>4</v>
      </c>
      <c r="HC60" t="s">
        <v>4</v>
      </c>
      <c r="HD60" t="s">
        <v>4</v>
      </c>
      <c r="HE60" t="s">
        <v>4</v>
      </c>
      <c r="HF60" t="s">
        <v>4</v>
      </c>
      <c r="HG60" t="s">
        <v>4</v>
      </c>
      <c r="IS60" t="s">
        <v>4</v>
      </c>
      <c r="IT60" t="s">
        <v>4</v>
      </c>
      <c r="IU60" t="s">
        <v>4</v>
      </c>
      <c r="IV60" t="s">
        <v>4</v>
      </c>
      <c r="IW60" t="s">
        <v>4</v>
      </c>
      <c r="KI60" t="s">
        <v>4</v>
      </c>
      <c r="KJ60" t="s">
        <v>4</v>
      </c>
      <c r="KK60" t="s">
        <v>4</v>
      </c>
      <c r="KL60" t="s">
        <v>4</v>
      </c>
      <c r="KM60" t="s">
        <v>4</v>
      </c>
      <c r="LY60" t="s">
        <v>4</v>
      </c>
      <c r="LZ60" t="s">
        <v>4</v>
      </c>
      <c r="MA60" t="s">
        <v>4</v>
      </c>
      <c r="MB60" t="s">
        <v>4</v>
      </c>
      <c r="MC60" t="s">
        <v>4</v>
      </c>
      <c r="NE60">
        <f t="shared" ref="NE60:NE63" si="20">COUNTIF(C60:NC60, "Clinic")</f>
        <v>40</v>
      </c>
    </row>
    <row r="61" spans="1:369">
      <c r="A61" t="s">
        <v>61</v>
      </c>
      <c r="AC61" t="s">
        <v>4</v>
      </c>
      <c r="AD61" t="s">
        <v>4</v>
      </c>
      <c r="AE61" t="s">
        <v>4</v>
      </c>
      <c r="AF61" t="s">
        <v>4</v>
      </c>
      <c r="AG61" t="s">
        <v>4</v>
      </c>
      <c r="BS61" t="s">
        <v>4</v>
      </c>
      <c r="BT61" t="s">
        <v>4</v>
      </c>
      <c r="BU61" t="s">
        <v>4</v>
      </c>
      <c r="BV61" t="s">
        <v>4</v>
      </c>
      <c r="BW61" t="s">
        <v>4</v>
      </c>
      <c r="DI61" t="s">
        <v>4</v>
      </c>
      <c r="DJ61" t="s">
        <v>4</v>
      </c>
      <c r="DK61" t="s">
        <v>4</v>
      </c>
      <c r="DL61" t="s">
        <v>4</v>
      </c>
      <c r="DM61" t="s">
        <v>4</v>
      </c>
      <c r="FF61" t="s">
        <v>4</v>
      </c>
      <c r="FG61" t="s">
        <v>4</v>
      </c>
      <c r="FH61" t="s">
        <v>4</v>
      </c>
      <c r="FI61" t="s">
        <v>4</v>
      </c>
      <c r="FJ61" t="s">
        <v>4</v>
      </c>
      <c r="HJ61" t="s">
        <v>4</v>
      </c>
      <c r="HK61" t="s">
        <v>4</v>
      </c>
      <c r="HL61" t="s">
        <v>4</v>
      </c>
      <c r="HM61" t="s">
        <v>4</v>
      </c>
      <c r="HN61" t="s">
        <v>4</v>
      </c>
      <c r="IZ61" t="s">
        <v>4</v>
      </c>
      <c r="JA61" t="s">
        <v>4</v>
      </c>
      <c r="JB61" t="s">
        <v>4</v>
      </c>
      <c r="JC61" t="s">
        <v>4</v>
      </c>
      <c r="JD61" t="s">
        <v>4</v>
      </c>
      <c r="KP61" t="s">
        <v>4</v>
      </c>
      <c r="KQ61" t="s">
        <v>4</v>
      </c>
      <c r="KR61" t="s">
        <v>4</v>
      </c>
      <c r="KS61" t="s">
        <v>4</v>
      </c>
      <c r="KT61" t="s">
        <v>4</v>
      </c>
      <c r="MF61" t="s">
        <v>4</v>
      </c>
      <c r="MG61" t="s">
        <v>4</v>
      </c>
      <c r="MH61" t="s">
        <v>4</v>
      </c>
      <c r="MI61" t="s">
        <v>4</v>
      </c>
      <c r="MJ61" t="s">
        <v>4</v>
      </c>
      <c r="NE61">
        <f t="shared" si="20"/>
        <v>40</v>
      </c>
    </row>
    <row r="62" spans="1:369">
      <c r="A62" t="s">
        <v>62</v>
      </c>
      <c r="AJ62" t="s">
        <v>4</v>
      </c>
      <c r="AK62" t="s">
        <v>4</v>
      </c>
      <c r="AL62" t="s">
        <v>4</v>
      </c>
      <c r="AM62" t="s">
        <v>4</v>
      </c>
      <c r="AN62" t="s">
        <v>4</v>
      </c>
      <c r="BZ62" t="s">
        <v>4</v>
      </c>
      <c r="CA62" t="s">
        <v>4</v>
      </c>
      <c r="CB62" t="s">
        <v>4</v>
      </c>
      <c r="CC62" t="s">
        <v>4</v>
      </c>
      <c r="CD62" t="s">
        <v>4</v>
      </c>
      <c r="DP62" t="s">
        <v>4</v>
      </c>
      <c r="DQ62" t="s">
        <v>4</v>
      </c>
      <c r="DR62" t="s">
        <v>4</v>
      </c>
      <c r="DS62" t="s">
        <v>4</v>
      </c>
      <c r="DT62" t="s">
        <v>4</v>
      </c>
      <c r="FM62" t="s">
        <v>4</v>
      </c>
      <c r="FN62" t="s">
        <v>4</v>
      </c>
      <c r="FO62" t="s">
        <v>4</v>
      </c>
      <c r="FP62" t="s">
        <v>4</v>
      </c>
      <c r="FQ62" t="s">
        <v>4</v>
      </c>
      <c r="HQ62" t="s">
        <v>4</v>
      </c>
      <c r="HR62" t="s">
        <v>4</v>
      </c>
      <c r="HS62" t="s">
        <v>4</v>
      </c>
      <c r="HT62" t="s">
        <v>4</v>
      </c>
      <c r="HU62" t="s">
        <v>4</v>
      </c>
      <c r="JG62" t="s">
        <v>4</v>
      </c>
      <c r="JH62" t="s">
        <v>4</v>
      </c>
      <c r="JI62" t="s">
        <v>4</v>
      </c>
      <c r="JJ62" t="s">
        <v>4</v>
      </c>
      <c r="JK62" t="s">
        <v>4</v>
      </c>
      <c r="KW62" t="s">
        <v>4</v>
      </c>
      <c r="KX62" t="s">
        <v>4</v>
      </c>
      <c r="KY62" t="s">
        <v>4</v>
      </c>
      <c r="KZ62" t="s">
        <v>4</v>
      </c>
      <c r="LA62" t="s">
        <v>4</v>
      </c>
      <c r="MM62" t="s">
        <v>4</v>
      </c>
      <c r="MN62" t="s">
        <v>4</v>
      </c>
      <c r="MO62" t="s">
        <v>4</v>
      </c>
      <c r="MP62" t="s">
        <v>4</v>
      </c>
      <c r="MQ62" t="s">
        <v>4</v>
      </c>
      <c r="NE62">
        <f t="shared" si="20"/>
        <v>40</v>
      </c>
    </row>
    <row r="63" spans="1:369">
      <c r="A63" t="s">
        <v>63</v>
      </c>
      <c r="AQ63" t="s">
        <v>4</v>
      </c>
      <c r="AR63" t="s">
        <v>4</v>
      </c>
      <c r="AS63" t="s">
        <v>4</v>
      </c>
      <c r="AT63" t="s">
        <v>4</v>
      </c>
      <c r="AU63" t="s">
        <v>4</v>
      </c>
      <c r="CG63" t="s">
        <v>4</v>
      </c>
      <c r="CH63" t="s">
        <v>4</v>
      </c>
      <c r="CI63" t="s">
        <v>4</v>
      </c>
      <c r="CJ63" t="s">
        <v>4</v>
      </c>
      <c r="CK63" t="s">
        <v>4</v>
      </c>
      <c r="DW63" t="s">
        <v>4</v>
      </c>
      <c r="DX63" t="s">
        <v>4</v>
      </c>
      <c r="DY63" t="s">
        <v>4</v>
      </c>
      <c r="DZ63" t="s">
        <v>4</v>
      </c>
      <c r="EA63" t="s">
        <v>4</v>
      </c>
      <c r="GH63" s="12" t="s">
        <v>4</v>
      </c>
      <c r="GI63" s="12" t="s">
        <v>4</v>
      </c>
      <c r="GJ63" s="12" t="s">
        <v>4</v>
      </c>
      <c r="GK63" s="12" t="s">
        <v>4</v>
      </c>
      <c r="GL63" s="12" t="s">
        <v>4</v>
      </c>
      <c r="HX63" t="s">
        <v>4</v>
      </c>
      <c r="HY63" t="s">
        <v>4</v>
      </c>
      <c r="HZ63" t="s">
        <v>4</v>
      </c>
      <c r="IA63" t="s">
        <v>4</v>
      </c>
      <c r="IB63" t="s">
        <v>4</v>
      </c>
      <c r="JN63" t="s">
        <v>4</v>
      </c>
      <c r="JO63" t="s">
        <v>4</v>
      </c>
      <c r="JP63" t="s">
        <v>4</v>
      </c>
      <c r="JQ63" t="s">
        <v>4</v>
      </c>
      <c r="JR63" t="s">
        <v>4</v>
      </c>
      <c r="LD63" t="s">
        <v>4</v>
      </c>
      <c r="LE63" t="s">
        <v>4</v>
      </c>
      <c r="LF63" t="s">
        <v>4</v>
      </c>
      <c r="LG63" t="s">
        <v>4</v>
      </c>
      <c r="LH63" t="s">
        <v>4</v>
      </c>
      <c r="MT63" t="s">
        <v>4</v>
      </c>
      <c r="MU63" t="s">
        <v>4</v>
      </c>
      <c r="MV63" t="s">
        <v>4</v>
      </c>
      <c r="MW63" t="s">
        <v>4</v>
      </c>
      <c r="MX63" t="s">
        <v>4</v>
      </c>
      <c r="NE63">
        <f t="shared" si="20"/>
        <v>40</v>
      </c>
    </row>
    <row r="64" spans="1:369">
      <c r="A64" t="s">
        <v>64</v>
      </c>
      <c r="H64" t="s">
        <v>4</v>
      </c>
      <c r="I64" t="s">
        <v>4</v>
      </c>
      <c r="J64" t="s">
        <v>4</v>
      </c>
      <c r="K64" t="s">
        <v>4</v>
      </c>
      <c r="L64" t="s">
        <v>4</v>
      </c>
      <c r="AX64" t="s">
        <v>4</v>
      </c>
      <c r="AY64" t="s">
        <v>4</v>
      </c>
      <c r="AZ64" t="s">
        <v>4</v>
      </c>
      <c r="BA64" t="s">
        <v>4</v>
      </c>
      <c r="BB64" t="s">
        <v>4</v>
      </c>
      <c r="CN64" t="s">
        <v>4</v>
      </c>
      <c r="CO64" t="s">
        <v>4</v>
      </c>
      <c r="CP64" t="s">
        <v>4</v>
      </c>
      <c r="CQ64" t="s">
        <v>4</v>
      </c>
      <c r="CR64" t="s">
        <v>4</v>
      </c>
      <c r="ED64" t="s">
        <v>4</v>
      </c>
      <c r="EE64" t="s">
        <v>4</v>
      </c>
      <c r="EF64" t="s">
        <v>4</v>
      </c>
      <c r="EG64" t="s">
        <v>4</v>
      </c>
      <c r="EH64" t="s">
        <v>4</v>
      </c>
      <c r="GO64" t="s">
        <v>4</v>
      </c>
      <c r="GP64" t="s">
        <v>4</v>
      </c>
      <c r="GQ64" t="s">
        <v>4</v>
      </c>
      <c r="GR64" t="s">
        <v>4</v>
      </c>
      <c r="GS64" t="s">
        <v>4</v>
      </c>
      <c r="IE64" t="s">
        <v>4</v>
      </c>
      <c r="IF64" t="s">
        <v>4</v>
      </c>
      <c r="IG64" t="s">
        <v>4</v>
      </c>
      <c r="IH64" t="s">
        <v>4</v>
      </c>
      <c r="II64" t="s">
        <v>4</v>
      </c>
      <c r="JU64" t="s">
        <v>4</v>
      </c>
      <c r="JV64" t="s">
        <v>4</v>
      </c>
      <c r="JW64" t="s">
        <v>4</v>
      </c>
      <c r="JX64" t="s">
        <v>4</v>
      </c>
      <c r="JY64" t="s">
        <v>4</v>
      </c>
      <c r="LK64" t="s">
        <v>4</v>
      </c>
      <c r="LL64" t="s">
        <v>4</v>
      </c>
      <c r="LM64" t="s">
        <v>4</v>
      </c>
      <c r="LN64" t="s">
        <v>4</v>
      </c>
      <c r="LO64" t="s">
        <v>4</v>
      </c>
      <c r="NE64">
        <f>COUNTIF(C64:NC64, "Clinic")</f>
        <v>40</v>
      </c>
    </row>
    <row r="65" spans="1:369">
      <c r="A65" t="s">
        <v>65</v>
      </c>
      <c r="O65" t="s">
        <v>4</v>
      </c>
      <c r="P65" t="s">
        <v>4</v>
      </c>
      <c r="Q65" t="s">
        <v>4</v>
      </c>
      <c r="R65" t="s">
        <v>4</v>
      </c>
      <c r="S65" t="s">
        <v>4</v>
      </c>
      <c r="BE65" t="s">
        <v>4</v>
      </c>
      <c r="BF65" t="s">
        <v>4</v>
      </c>
      <c r="BG65" t="s">
        <v>4</v>
      </c>
      <c r="BH65" t="s">
        <v>4</v>
      </c>
      <c r="BI65" t="s">
        <v>4</v>
      </c>
      <c r="CU65" t="s">
        <v>4</v>
      </c>
      <c r="CV65" t="s">
        <v>4</v>
      </c>
      <c r="CW65" t="s">
        <v>4</v>
      </c>
      <c r="CX65" t="s">
        <v>4</v>
      </c>
      <c r="CY65" t="s">
        <v>4</v>
      </c>
      <c r="EK65" t="s">
        <v>4</v>
      </c>
      <c r="EL65" t="s">
        <v>4</v>
      </c>
      <c r="EM65" t="s">
        <v>4</v>
      </c>
      <c r="EN65" t="s">
        <v>4</v>
      </c>
      <c r="EO65" t="s">
        <v>4</v>
      </c>
      <c r="GV65" t="s">
        <v>4</v>
      </c>
      <c r="GW65" t="s">
        <v>4</v>
      </c>
      <c r="GX65" t="s">
        <v>4</v>
      </c>
      <c r="GY65" t="s">
        <v>4</v>
      </c>
      <c r="GZ65" t="s">
        <v>4</v>
      </c>
      <c r="IL65" t="s">
        <v>4</v>
      </c>
      <c r="IM65" t="s">
        <v>4</v>
      </c>
      <c r="IN65" t="s">
        <v>4</v>
      </c>
      <c r="IO65" t="s">
        <v>4</v>
      </c>
      <c r="IP65" t="s">
        <v>4</v>
      </c>
      <c r="KB65" t="s">
        <v>4</v>
      </c>
      <c r="KC65" t="s">
        <v>4</v>
      </c>
      <c r="KD65" t="s">
        <v>4</v>
      </c>
      <c r="KE65" t="s">
        <v>4</v>
      </c>
      <c r="KF65" t="s">
        <v>4</v>
      </c>
      <c r="LR65" t="s">
        <v>4</v>
      </c>
      <c r="LS65" t="s">
        <v>4</v>
      </c>
      <c r="LT65" t="s">
        <v>4</v>
      </c>
      <c r="LU65" t="s">
        <v>4</v>
      </c>
      <c r="LV65" t="s">
        <v>4</v>
      </c>
      <c r="NE65">
        <f>COUNTIF(C65:NC65, "Clinic")</f>
        <v>40</v>
      </c>
    </row>
    <row r="66" spans="1:369">
      <c r="A66" t="s">
        <v>66</v>
      </c>
      <c r="V66" t="s">
        <v>4</v>
      </c>
      <c r="W66" t="s">
        <v>4</v>
      </c>
      <c r="X66" t="s">
        <v>4</v>
      </c>
      <c r="Y66" t="s">
        <v>4</v>
      </c>
      <c r="Z66" t="s">
        <v>4</v>
      </c>
      <c r="BL66" t="s">
        <v>4</v>
      </c>
      <c r="BM66" t="s">
        <v>4</v>
      </c>
      <c r="BN66" t="s">
        <v>4</v>
      </c>
      <c r="BO66" t="s">
        <v>4</v>
      </c>
      <c r="BP66" t="s">
        <v>4</v>
      </c>
      <c r="DB66" t="s">
        <v>4</v>
      </c>
      <c r="DC66" t="s">
        <v>4</v>
      </c>
      <c r="DD66" t="s">
        <v>4</v>
      </c>
      <c r="DE66" t="s">
        <v>4</v>
      </c>
      <c r="DF66" t="s">
        <v>4</v>
      </c>
      <c r="EY66" t="s">
        <v>4</v>
      </c>
      <c r="EZ66" t="s">
        <v>4</v>
      </c>
      <c r="FA66" t="s">
        <v>4</v>
      </c>
      <c r="FB66" t="s">
        <v>4</v>
      </c>
      <c r="FC66" t="s">
        <v>4</v>
      </c>
      <c r="HC66" t="s">
        <v>4</v>
      </c>
      <c r="HD66" t="s">
        <v>4</v>
      </c>
      <c r="HE66" t="s">
        <v>4</v>
      </c>
      <c r="HF66" t="s">
        <v>4</v>
      </c>
      <c r="HG66" t="s">
        <v>4</v>
      </c>
      <c r="IS66" t="s">
        <v>4</v>
      </c>
      <c r="IT66" t="s">
        <v>4</v>
      </c>
      <c r="IU66" t="s">
        <v>4</v>
      </c>
      <c r="IV66" t="s">
        <v>4</v>
      </c>
      <c r="IW66" t="s">
        <v>4</v>
      </c>
      <c r="KI66" t="s">
        <v>4</v>
      </c>
      <c r="KJ66" t="s">
        <v>4</v>
      </c>
      <c r="KK66" t="s">
        <v>4</v>
      </c>
      <c r="KL66" t="s">
        <v>4</v>
      </c>
      <c r="KM66" t="s">
        <v>4</v>
      </c>
      <c r="LY66" t="s">
        <v>4</v>
      </c>
      <c r="LZ66" t="s">
        <v>4</v>
      </c>
      <c r="MA66" t="s">
        <v>4</v>
      </c>
      <c r="MB66" t="s">
        <v>4</v>
      </c>
      <c r="MC66" t="s">
        <v>4</v>
      </c>
      <c r="NE66">
        <f t="shared" ref="NE66:NE69" si="21">COUNTIF(C66:NC66, "Clinic")</f>
        <v>40</v>
      </c>
    </row>
    <row r="67" spans="1:369">
      <c r="A67" t="s">
        <v>67</v>
      </c>
      <c r="AC67" t="s">
        <v>4</v>
      </c>
      <c r="AD67" t="s">
        <v>4</v>
      </c>
      <c r="AE67" t="s">
        <v>4</v>
      </c>
      <c r="AF67" t="s">
        <v>4</v>
      </c>
      <c r="AG67" t="s">
        <v>4</v>
      </c>
      <c r="BS67" t="s">
        <v>4</v>
      </c>
      <c r="BT67" t="s">
        <v>4</v>
      </c>
      <c r="BU67" t="s">
        <v>4</v>
      </c>
      <c r="BV67" t="s">
        <v>4</v>
      </c>
      <c r="BW67" t="s">
        <v>4</v>
      </c>
      <c r="DI67" t="s">
        <v>4</v>
      </c>
      <c r="DJ67" t="s">
        <v>4</v>
      </c>
      <c r="DK67" t="s">
        <v>4</v>
      </c>
      <c r="DL67" t="s">
        <v>4</v>
      </c>
      <c r="DM67" t="s">
        <v>4</v>
      </c>
      <c r="FF67" t="s">
        <v>4</v>
      </c>
      <c r="FG67" t="s">
        <v>4</v>
      </c>
      <c r="FH67" t="s">
        <v>4</v>
      </c>
      <c r="FI67" t="s">
        <v>4</v>
      </c>
      <c r="FJ67" t="s">
        <v>4</v>
      </c>
      <c r="HJ67" t="s">
        <v>4</v>
      </c>
      <c r="HK67" t="s">
        <v>4</v>
      </c>
      <c r="HL67" t="s">
        <v>4</v>
      </c>
      <c r="HM67" t="s">
        <v>4</v>
      </c>
      <c r="HN67" t="s">
        <v>4</v>
      </c>
      <c r="IZ67" t="s">
        <v>4</v>
      </c>
      <c r="JA67" t="s">
        <v>4</v>
      </c>
      <c r="JB67" t="s">
        <v>4</v>
      </c>
      <c r="JC67" t="s">
        <v>4</v>
      </c>
      <c r="JD67" t="s">
        <v>4</v>
      </c>
      <c r="KP67" t="s">
        <v>4</v>
      </c>
      <c r="KQ67" t="s">
        <v>4</v>
      </c>
      <c r="KR67" t="s">
        <v>4</v>
      </c>
      <c r="KS67" t="s">
        <v>4</v>
      </c>
      <c r="KT67" t="s">
        <v>4</v>
      </c>
      <c r="MF67" t="s">
        <v>4</v>
      </c>
      <c r="MG67" t="s">
        <v>4</v>
      </c>
      <c r="MH67" t="s">
        <v>4</v>
      </c>
      <c r="MI67" t="s">
        <v>4</v>
      </c>
      <c r="MJ67" t="s">
        <v>4</v>
      </c>
      <c r="NE67">
        <f t="shared" si="21"/>
        <v>40</v>
      </c>
    </row>
    <row r="68" spans="1:369">
      <c r="A68" t="s">
        <v>68</v>
      </c>
      <c r="AJ68" t="s">
        <v>4</v>
      </c>
      <c r="AK68" t="s">
        <v>4</v>
      </c>
      <c r="AL68" t="s">
        <v>4</v>
      </c>
      <c r="AM68" t="s">
        <v>4</v>
      </c>
      <c r="AN68" t="s">
        <v>4</v>
      </c>
      <c r="BZ68" t="s">
        <v>4</v>
      </c>
      <c r="CA68" t="s">
        <v>4</v>
      </c>
      <c r="CB68" t="s">
        <v>4</v>
      </c>
      <c r="CC68" t="s">
        <v>4</v>
      </c>
      <c r="CD68" t="s">
        <v>4</v>
      </c>
      <c r="DP68" t="s">
        <v>4</v>
      </c>
      <c r="DQ68" t="s">
        <v>4</v>
      </c>
      <c r="DR68" t="s">
        <v>4</v>
      </c>
      <c r="DS68" t="s">
        <v>4</v>
      </c>
      <c r="DT68" t="s">
        <v>4</v>
      </c>
      <c r="FM68" t="s">
        <v>4</v>
      </c>
      <c r="FN68" t="s">
        <v>4</v>
      </c>
      <c r="FO68" t="s">
        <v>4</v>
      </c>
      <c r="FP68" t="s">
        <v>4</v>
      </c>
      <c r="FQ68" t="s">
        <v>4</v>
      </c>
      <c r="HQ68" t="s">
        <v>4</v>
      </c>
      <c r="HR68" t="s">
        <v>4</v>
      </c>
      <c r="HS68" t="s">
        <v>4</v>
      </c>
      <c r="HT68" t="s">
        <v>4</v>
      </c>
      <c r="HU68" t="s">
        <v>4</v>
      </c>
      <c r="JG68" t="s">
        <v>4</v>
      </c>
      <c r="JH68" t="s">
        <v>4</v>
      </c>
      <c r="JI68" t="s">
        <v>4</v>
      </c>
      <c r="JJ68" t="s">
        <v>4</v>
      </c>
      <c r="JK68" t="s">
        <v>4</v>
      </c>
      <c r="KW68" t="s">
        <v>4</v>
      </c>
      <c r="KX68" t="s">
        <v>4</v>
      </c>
      <c r="KY68" t="s">
        <v>4</v>
      </c>
      <c r="KZ68" t="s">
        <v>4</v>
      </c>
      <c r="LA68" t="s">
        <v>4</v>
      </c>
      <c r="MM68" t="s">
        <v>4</v>
      </c>
      <c r="MN68" t="s">
        <v>4</v>
      </c>
      <c r="MO68" t="s">
        <v>4</v>
      </c>
      <c r="MP68" t="s">
        <v>4</v>
      </c>
      <c r="MQ68" t="s">
        <v>4</v>
      </c>
      <c r="NE68">
        <f t="shared" si="21"/>
        <v>40</v>
      </c>
    </row>
    <row r="69" spans="1:369">
      <c r="A69" t="s">
        <v>69</v>
      </c>
      <c r="AQ69" t="s">
        <v>4</v>
      </c>
      <c r="AR69" t="s">
        <v>4</v>
      </c>
      <c r="AS69" t="s">
        <v>4</v>
      </c>
      <c r="AT69" t="s">
        <v>4</v>
      </c>
      <c r="AU69" t="s">
        <v>4</v>
      </c>
      <c r="CG69" t="s">
        <v>4</v>
      </c>
      <c r="CH69" t="s">
        <v>4</v>
      </c>
      <c r="CI69" t="s">
        <v>4</v>
      </c>
      <c r="CJ69" t="s">
        <v>4</v>
      </c>
      <c r="CK69" t="s">
        <v>4</v>
      </c>
      <c r="DW69" t="s">
        <v>4</v>
      </c>
      <c r="DX69" t="s">
        <v>4</v>
      </c>
      <c r="DY69" t="s">
        <v>4</v>
      </c>
      <c r="DZ69" t="s">
        <v>4</v>
      </c>
      <c r="EA69" t="s">
        <v>4</v>
      </c>
      <c r="GH69" s="12" t="s">
        <v>4</v>
      </c>
      <c r="GI69" s="12" t="s">
        <v>4</v>
      </c>
      <c r="GJ69" s="12" t="s">
        <v>4</v>
      </c>
      <c r="GK69" s="12" t="s">
        <v>4</v>
      </c>
      <c r="GL69" s="12" t="s">
        <v>4</v>
      </c>
      <c r="HX69" t="s">
        <v>4</v>
      </c>
      <c r="HY69" t="s">
        <v>4</v>
      </c>
      <c r="HZ69" t="s">
        <v>4</v>
      </c>
      <c r="IA69" t="s">
        <v>4</v>
      </c>
      <c r="IB69" t="s">
        <v>4</v>
      </c>
      <c r="JN69" t="s">
        <v>4</v>
      </c>
      <c r="JO69" t="s">
        <v>4</v>
      </c>
      <c r="JP69" t="s">
        <v>4</v>
      </c>
      <c r="JQ69" t="s">
        <v>4</v>
      </c>
      <c r="JR69" t="s">
        <v>4</v>
      </c>
      <c r="LD69" t="s">
        <v>4</v>
      </c>
      <c r="LE69" t="s">
        <v>4</v>
      </c>
      <c r="LF69" t="s">
        <v>4</v>
      </c>
      <c r="LG69" t="s">
        <v>4</v>
      </c>
      <c r="LH69" t="s">
        <v>4</v>
      </c>
      <c r="MT69" t="s">
        <v>4</v>
      </c>
      <c r="MU69" t="s">
        <v>4</v>
      </c>
      <c r="MV69" t="s">
        <v>4</v>
      </c>
      <c r="MW69" t="s">
        <v>4</v>
      </c>
      <c r="MX69" t="s">
        <v>4</v>
      </c>
      <c r="NE69">
        <f t="shared" si="21"/>
        <v>40</v>
      </c>
    </row>
    <row r="70" spans="1:369">
      <c r="A70" t="s">
        <v>70</v>
      </c>
      <c r="H70" t="s">
        <v>4</v>
      </c>
      <c r="I70" t="s">
        <v>4</v>
      </c>
      <c r="J70" t="s">
        <v>4</v>
      </c>
      <c r="K70" t="s">
        <v>4</v>
      </c>
      <c r="L70" t="s">
        <v>4</v>
      </c>
      <c r="AX70" t="s">
        <v>4</v>
      </c>
      <c r="AY70" t="s">
        <v>4</v>
      </c>
      <c r="AZ70" t="s">
        <v>4</v>
      </c>
      <c r="BA70" t="s">
        <v>4</v>
      </c>
      <c r="BB70" t="s">
        <v>4</v>
      </c>
      <c r="CN70" t="s">
        <v>4</v>
      </c>
      <c r="CO70" t="s">
        <v>4</v>
      </c>
      <c r="CP70" t="s">
        <v>4</v>
      </c>
      <c r="CQ70" t="s">
        <v>4</v>
      </c>
      <c r="CR70" t="s">
        <v>4</v>
      </c>
      <c r="ED70" t="s">
        <v>4</v>
      </c>
      <c r="EE70" t="s">
        <v>4</v>
      </c>
      <c r="EF70" t="s">
        <v>4</v>
      </c>
      <c r="EG70" t="s">
        <v>4</v>
      </c>
      <c r="EH70" t="s">
        <v>4</v>
      </c>
      <c r="GO70" t="s">
        <v>4</v>
      </c>
      <c r="GP70" t="s">
        <v>4</v>
      </c>
      <c r="GQ70" t="s">
        <v>4</v>
      </c>
      <c r="GR70" t="s">
        <v>4</v>
      </c>
      <c r="GS70" t="s">
        <v>4</v>
      </c>
      <c r="IE70" t="s">
        <v>4</v>
      </c>
      <c r="IF70" t="s">
        <v>4</v>
      </c>
      <c r="IG70" t="s">
        <v>4</v>
      </c>
      <c r="IH70" t="s">
        <v>4</v>
      </c>
      <c r="II70" t="s">
        <v>4</v>
      </c>
      <c r="JU70" t="s">
        <v>4</v>
      </c>
      <c r="JV70" t="s">
        <v>4</v>
      </c>
      <c r="JW70" t="s">
        <v>4</v>
      </c>
      <c r="JX70" t="s">
        <v>4</v>
      </c>
      <c r="JY70" t="s">
        <v>4</v>
      </c>
      <c r="LK70" t="s">
        <v>4</v>
      </c>
      <c r="LL70" t="s">
        <v>4</v>
      </c>
      <c r="LM70" t="s">
        <v>4</v>
      </c>
      <c r="LN70" t="s">
        <v>4</v>
      </c>
      <c r="LO70" t="s">
        <v>4</v>
      </c>
      <c r="NE70">
        <f>COUNTIF(C70:NC70, "Clinic")</f>
        <v>40</v>
      </c>
    </row>
    <row r="71" spans="1:369">
      <c r="A71" t="s">
        <v>71</v>
      </c>
      <c r="O71" t="s">
        <v>4</v>
      </c>
      <c r="P71" t="s">
        <v>4</v>
      </c>
      <c r="Q71" t="s">
        <v>4</v>
      </c>
      <c r="R71" t="s">
        <v>4</v>
      </c>
      <c r="S71" t="s">
        <v>4</v>
      </c>
      <c r="BE71" t="s">
        <v>4</v>
      </c>
      <c r="BF71" t="s">
        <v>4</v>
      </c>
      <c r="BG71" t="s">
        <v>4</v>
      </c>
      <c r="BH71" t="s">
        <v>4</v>
      </c>
      <c r="BI71" t="s">
        <v>4</v>
      </c>
      <c r="CU71" t="s">
        <v>4</v>
      </c>
      <c r="CV71" t="s">
        <v>4</v>
      </c>
      <c r="CW71" t="s">
        <v>4</v>
      </c>
      <c r="CX71" t="s">
        <v>4</v>
      </c>
      <c r="CY71" t="s">
        <v>4</v>
      </c>
      <c r="EK71" t="s">
        <v>4</v>
      </c>
      <c r="EL71" t="s">
        <v>4</v>
      </c>
      <c r="EM71" t="s">
        <v>4</v>
      </c>
      <c r="EN71" t="s">
        <v>4</v>
      </c>
      <c r="EO71" t="s">
        <v>4</v>
      </c>
      <c r="GV71" t="s">
        <v>4</v>
      </c>
      <c r="GW71" t="s">
        <v>4</v>
      </c>
      <c r="GX71" t="s">
        <v>4</v>
      </c>
      <c r="GY71" t="s">
        <v>4</v>
      </c>
      <c r="GZ71" t="s">
        <v>4</v>
      </c>
      <c r="IL71" t="s">
        <v>4</v>
      </c>
      <c r="IM71" t="s">
        <v>4</v>
      </c>
      <c r="IN71" t="s">
        <v>4</v>
      </c>
      <c r="IO71" t="s">
        <v>4</v>
      </c>
      <c r="IP71" t="s">
        <v>4</v>
      </c>
      <c r="KB71" t="s">
        <v>4</v>
      </c>
      <c r="KC71" t="s">
        <v>4</v>
      </c>
      <c r="KD71" t="s">
        <v>4</v>
      </c>
      <c r="KE71" t="s">
        <v>4</v>
      </c>
      <c r="KF71" t="s">
        <v>4</v>
      </c>
      <c r="LR71" t="s">
        <v>4</v>
      </c>
      <c r="LS71" t="s">
        <v>4</v>
      </c>
      <c r="LT71" t="s">
        <v>4</v>
      </c>
      <c r="LU71" t="s">
        <v>4</v>
      </c>
      <c r="LV71" t="s">
        <v>4</v>
      </c>
      <c r="NE71">
        <f>COUNTIF(C71:NC71, "Clinic")</f>
        <v>40</v>
      </c>
    </row>
    <row r="72" spans="1:369">
      <c r="A72" t="s">
        <v>72</v>
      </c>
      <c r="V72" t="s">
        <v>4</v>
      </c>
      <c r="W72" t="s">
        <v>4</v>
      </c>
      <c r="X72" t="s">
        <v>4</v>
      </c>
      <c r="Y72" t="s">
        <v>4</v>
      </c>
      <c r="Z72" t="s">
        <v>4</v>
      </c>
      <c r="BL72" t="s">
        <v>4</v>
      </c>
      <c r="BM72" t="s">
        <v>4</v>
      </c>
      <c r="BN72" t="s">
        <v>4</v>
      </c>
      <c r="BO72" t="s">
        <v>4</v>
      </c>
      <c r="BP72" t="s">
        <v>4</v>
      </c>
      <c r="DB72" t="s">
        <v>4</v>
      </c>
      <c r="DC72" t="s">
        <v>4</v>
      </c>
      <c r="DD72" t="s">
        <v>4</v>
      </c>
      <c r="DE72" t="s">
        <v>4</v>
      </c>
      <c r="DF72" t="s">
        <v>4</v>
      </c>
      <c r="EY72" t="s">
        <v>4</v>
      </c>
      <c r="EZ72" t="s">
        <v>4</v>
      </c>
      <c r="FA72" t="s">
        <v>4</v>
      </c>
      <c r="FB72" t="s">
        <v>4</v>
      </c>
      <c r="FC72" t="s">
        <v>4</v>
      </c>
      <c r="HC72" t="s">
        <v>4</v>
      </c>
      <c r="HD72" t="s">
        <v>4</v>
      </c>
      <c r="HE72" t="s">
        <v>4</v>
      </c>
      <c r="HF72" t="s">
        <v>4</v>
      </c>
      <c r="HG72" t="s">
        <v>4</v>
      </c>
      <c r="IS72" t="s">
        <v>4</v>
      </c>
      <c r="IT72" t="s">
        <v>4</v>
      </c>
      <c r="IU72" t="s">
        <v>4</v>
      </c>
      <c r="IV72" t="s">
        <v>4</v>
      </c>
      <c r="IW72" t="s">
        <v>4</v>
      </c>
      <c r="KI72" t="s">
        <v>4</v>
      </c>
      <c r="KJ72" t="s">
        <v>4</v>
      </c>
      <c r="KK72" t="s">
        <v>4</v>
      </c>
      <c r="KL72" t="s">
        <v>4</v>
      </c>
      <c r="KM72" t="s">
        <v>4</v>
      </c>
      <c r="LY72" t="s">
        <v>4</v>
      </c>
      <c r="LZ72" t="s">
        <v>4</v>
      </c>
      <c r="MA72" t="s">
        <v>4</v>
      </c>
      <c r="MB72" t="s">
        <v>4</v>
      </c>
      <c r="MC72" t="s">
        <v>4</v>
      </c>
      <c r="NE72">
        <f t="shared" ref="NE72:NE75" si="22">COUNTIF(C72:NC72, "Clinic")</f>
        <v>40</v>
      </c>
    </row>
    <row r="73" spans="1:369">
      <c r="A73" t="s">
        <v>73</v>
      </c>
      <c r="AC73" t="s">
        <v>4</v>
      </c>
      <c r="AD73" t="s">
        <v>4</v>
      </c>
      <c r="AE73" t="s">
        <v>4</v>
      </c>
      <c r="AF73" t="s">
        <v>4</v>
      </c>
      <c r="AG73" t="s">
        <v>4</v>
      </c>
      <c r="BS73" t="s">
        <v>4</v>
      </c>
      <c r="BT73" t="s">
        <v>4</v>
      </c>
      <c r="BU73" t="s">
        <v>4</v>
      </c>
      <c r="BV73" t="s">
        <v>4</v>
      </c>
      <c r="BW73" t="s">
        <v>4</v>
      </c>
      <c r="DI73" t="s">
        <v>4</v>
      </c>
      <c r="DJ73" t="s">
        <v>4</v>
      </c>
      <c r="DK73" t="s">
        <v>4</v>
      </c>
      <c r="DL73" t="s">
        <v>4</v>
      </c>
      <c r="DM73" t="s">
        <v>4</v>
      </c>
      <c r="FF73" t="s">
        <v>4</v>
      </c>
      <c r="FG73" t="s">
        <v>4</v>
      </c>
      <c r="FH73" t="s">
        <v>4</v>
      </c>
      <c r="FI73" t="s">
        <v>4</v>
      </c>
      <c r="FJ73" t="s">
        <v>4</v>
      </c>
      <c r="HJ73" t="s">
        <v>4</v>
      </c>
      <c r="HK73" t="s">
        <v>4</v>
      </c>
      <c r="HL73" t="s">
        <v>4</v>
      </c>
      <c r="HM73" t="s">
        <v>4</v>
      </c>
      <c r="HN73" t="s">
        <v>4</v>
      </c>
      <c r="IZ73" t="s">
        <v>4</v>
      </c>
      <c r="JA73" t="s">
        <v>4</v>
      </c>
      <c r="JB73" t="s">
        <v>4</v>
      </c>
      <c r="JC73" t="s">
        <v>4</v>
      </c>
      <c r="JD73" t="s">
        <v>4</v>
      </c>
      <c r="KP73" t="s">
        <v>4</v>
      </c>
      <c r="KQ73" t="s">
        <v>4</v>
      </c>
      <c r="KR73" t="s">
        <v>4</v>
      </c>
      <c r="KS73" t="s">
        <v>4</v>
      </c>
      <c r="KT73" t="s">
        <v>4</v>
      </c>
      <c r="MF73" t="s">
        <v>4</v>
      </c>
      <c r="MG73" t="s">
        <v>4</v>
      </c>
      <c r="MH73" t="s">
        <v>4</v>
      </c>
      <c r="MI73" t="s">
        <v>4</v>
      </c>
      <c r="MJ73" t="s">
        <v>4</v>
      </c>
      <c r="NE73">
        <f t="shared" si="22"/>
        <v>40</v>
      </c>
    </row>
    <row r="74" spans="1:369">
      <c r="A74" t="s">
        <v>74</v>
      </c>
      <c r="AJ74" t="s">
        <v>4</v>
      </c>
      <c r="AK74" t="s">
        <v>4</v>
      </c>
      <c r="AL74" t="s">
        <v>4</v>
      </c>
      <c r="AM74" t="s">
        <v>4</v>
      </c>
      <c r="AN74" t="s">
        <v>4</v>
      </c>
      <c r="BZ74" t="s">
        <v>4</v>
      </c>
      <c r="CA74" t="s">
        <v>4</v>
      </c>
      <c r="CB74" t="s">
        <v>4</v>
      </c>
      <c r="CC74" t="s">
        <v>4</v>
      </c>
      <c r="CD74" t="s">
        <v>4</v>
      </c>
      <c r="DP74" t="s">
        <v>4</v>
      </c>
      <c r="DQ74" t="s">
        <v>4</v>
      </c>
      <c r="DR74" t="s">
        <v>4</v>
      </c>
      <c r="DS74" t="s">
        <v>4</v>
      </c>
      <c r="DT74" t="s">
        <v>4</v>
      </c>
      <c r="FM74" t="s">
        <v>4</v>
      </c>
      <c r="FN74" t="s">
        <v>4</v>
      </c>
      <c r="FO74" t="s">
        <v>4</v>
      </c>
      <c r="FP74" t="s">
        <v>4</v>
      </c>
      <c r="FQ74" t="s">
        <v>4</v>
      </c>
      <c r="HQ74" t="s">
        <v>4</v>
      </c>
      <c r="HR74" t="s">
        <v>4</v>
      </c>
      <c r="HS74" t="s">
        <v>4</v>
      </c>
      <c r="HT74" t="s">
        <v>4</v>
      </c>
      <c r="HU74" t="s">
        <v>4</v>
      </c>
      <c r="JG74" t="s">
        <v>4</v>
      </c>
      <c r="JH74" t="s">
        <v>4</v>
      </c>
      <c r="JI74" t="s">
        <v>4</v>
      </c>
      <c r="JJ74" t="s">
        <v>4</v>
      </c>
      <c r="JK74" t="s">
        <v>4</v>
      </c>
      <c r="KW74" t="s">
        <v>4</v>
      </c>
      <c r="KX74" t="s">
        <v>4</v>
      </c>
      <c r="KY74" t="s">
        <v>4</v>
      </c>
      <c r="KZ74" t="s">
        <v>4</v>
      </c>
      <c r="LA74" t="s">
        <v>4</v>
      </c>
      <c r="MM74" t="s">
        <v>4</v>
      </c>
      <c r="MN74" t="s">
        <v>4</v>
      </c>
      <c r="MO74" t="s">
        <v>4</v>
      </c>
      <c r="MP74" t="s">
        <v>4</v>
      </c>
      <c r="MQ74" t="s">
        <v>4</v>
      </c>
      <c r="NE74">
        <f t="shared" si="22"/>
        <v>40</v>
      </c>
    </row>
    <row r="75" spans="1:369">
      <c r="A75" t="s">
        <v>75</v>
      </c>
      <c r="AQ75" t="s">
        <v>4</v>
      </c>
      <c r="AR75" t="s">
        <v>4</v>
      </c>
      <c r="AS75" t="s">
        <v>4</v>
      </c>
      <c r="AT75" t="s">
        <v>4</v>
      </c>
      <c r="AU75" t="s">
        <v>4</v>
      </c>
      <c r="CG75" t="s">
        <v>4</v>
      </c>
      <c r="CH75" t="s">
        <v>4</v>
      </c>
      <c r="CI75" t="s">
        <v>4</v>
      </c>
      <c r="CJ75" t="s">
        <v>4</v>
      </c>
      <c r="CK75" t="s">
        <v>4</v>
      </c>
      <c r="DW75" t="s">
        <v>4</v>
      </c>
      <c r="DX75" t="s">
        <v>4</v>
      </c>
      <c r="DY75" t="s">
        <v>4</v>
      </c>
      <c r="DZ75" t="s">
        <v>4</v>
      </c>
      <c r="EA75" t="s">
        <v>4</v>
      </c>
      <c r="GH75" s="12" t="s">
        <v>4</v>
      </c>
      <c r="GI75" s="12" t="s">
        <v>4</v>
      </c>
      <c r="GJ75" s="12" t="s">
        <v>4</v>
      </c>
      <c r="GK75" s="12" t="s">
        <v>4</v>
      </c>
      <c r="GL75" s="12" t="s">
        <v>4</v>
      </c>
      <c r="HX75" t="s">
        <v>4</v>
      </c>
      <c r="HY75" t="s">
        <v>4</v>
      </c>
      <c r="HZ75" t="s">
        <v>4</v>
      </c>
      <c r="IA75" t="s">
        <v>4</v>
      </c>
      <c r="IB75" t="s">
        <v>4</v>
      </c>
      <c r="JN75" t="s">
        <v>4</v>
      </c>
      <c r="JO75" t="s">
        <v>4</v>
      </c>
      <c r="JP75" t="s">
        <v>4</v>
      </c>
      <c r="JQ75" t="s">
        <v>4</v>
      </c>
      <c r="JR75" t="s">
        <v>4</v>
      </c>
      <c r="LD75" t="s">
        <v>4</v>
      </c>
      <c r="LE75" t="s">
        <v>4</v>
      </c>
      <c r="LF75" t="s">
        <v>4</v>
      </c>
      <c r="LG75" t="s">
        <v>4</v>
      </c>
      <c r="LH75" t="s">
        <v>4</v>
      </c>
      <c r="MT75" t="s">
        <v>4</v>
      </c>
      <c r="MU75" t="s">
        <v>4</v>
      </c>
      <c r="MV75" t="s">
        <v>4</v>
      </c>
      <c r="MW75" t="s">
        <v>4</v>
      </c>
      <c r="MX75" t="s">
        <v>4</v>
      </c>
      <c r="NE75">
        <f t="shared" si="22"/>
        <v>40</v>
      </c>
    </row>
    <row r="76" spans="1:369">
      <c r="A76" t="s">
        <v>76</v>
      </c>
      <c r="H76" t="s">
        <v>4</v>
      </c>
      <c r="I76" t="s">
        <v>4</v>
      </c>
      <c r="J76" t="s">
        <v>4</v>
      </c>
      <c r="K76" t="s">
        <v>4</v>
      </c>
      <c r="L76" t="s">
        <v>4</v>
      </c>
      <c r="AX76" t="s">
        <v>4</v>
      </c>
      <c r="AY76" t="s">
        <v>4</v>
      </c>
      <c r="AZ76" t="s">
        <v>4</v>
      </c>
      <c r="BA76" t="s">
        <v>4</v>
      </c>
      <c r="BB76" t="s">
        <v>4</v>
      </c>
      <c r="CN76" t="s">
        <v>4</v>
      </c>
      <c r="CO76" t="s">
        <v>4</v>
      </c>
      <c r="CP76" t="s">
        <v>4</v>
      </c>
      <c r="CQ76" t="s">
        <v>4</v>
      </c>
      <c r="CR76" t="s">
        <v>4</v>
      </c>
      <c r="ED76" t="s">
        <v>4</v>
      </c>
      <c r="EE76" t="s">
        <v>4</v>
      </c>
      <c r="EF76" t="s">
        <v>4</v>
      </c>
      <c r="EG76" t="s">
        <v>4</v>
      </c>
      <c r="EH76" t="s">
        <v>4</v>
      </c>
      <c r="GO76" t="s">
        <v>4</v>
      </c>
      <c r="GP76" t="s">
        <v>4</v>
      </c>
      <c r="GQ76" t="s">
        <v>4</v>
      </c>
      <c r="GR76" t="s">
        <v>4</v>
      </c>
      <c r="GS76" t="s">
        <v>4</v>
      </c>
      <c r="IE76" t="s">
        <v>4</v>
      </c>
      <c r="IF76" t="s">
        <v>4</v>
      </c>
      <c r="IG76" t="s">
        <v>4</v>
      </c>
      <c r="IH76" t="s">
        <v>4</v>
      </c>
      <c r="II76" t="s">
        <v>4</v>
      </c>
      <c r="JU76" t="s">
        <v>4</v>
      </c>
      <c r="JV76" t="s">
        <v>4</v>
      </c>
      <c r="JW76" t="s">
        <v>4</v>
      </c>
      <c r="JX76" t="s">
        <v>4</v>
      </c>
      <c r="JY76" t="s">
        <v>4</v>
      </c>
      <c r="LK76" t="s">
        <v>4</v>
      </c>
      <c r="LL76" t="s">
        <v>4</v>
      </c>
      <c r="LM76" t="s">
        <v>4</v>
      </c>
      <c r="LN76" t="s">
        <v>4</v>
      </c>
      <c r="LO76" t="s">
        <v>4</v>
      </c>
      <c r="NE76">
        <f>COUNTIF(C76:NC76, "Clinic")</f>
        <v>40</v>
      </c>
    </row>
    <row r="77" spans="1:369">
      <c r="A77" t="s">
        <v>77</v>
      </c>
      <c r="O77" t="s">
        <v>4</v>
      </c>
      <c r="P77" t="s">
        <v>4</v>
      </c>
      <c r="Q77" t="s">
        <v>4</v>
      </c>
      <c r="R77" t="s">
        <v>4</v>
      </c>
      <c r="S77" t="s">
        <v>4</v>
      </c>
      <c r="BE77" t="s">
        <v>4</v>
      </c>
      <c r="BF77" t="s">
        <v>4</v>
      </c>
      <c r="BG77" t="s">
        <v>4</v>
      </c>
      <c r="BH77" t="s">
        <v>4</v>
      </c>
      <c r="BI77" t="s">
        <v>4</v>
      </c>
      <c r="CU77" t="s">
        <v>4</v>
      </c>
      <c r="CV77" t="s">
        <v>4</v>
      </c>
      <c r="CW77" t="s">
        <v>4</v>
      </c>
      <c r="CX77" t="s">
        <v>4</v>
      </c>
      <c r="CY77" t="s">
        <v>4</v>
      </c>
      <c r="EK77" t="s">
        <v>4</v>
      </c>
      <c r="EL77" t="s">
        <v>4</v>
      </c>
      <c r="EM77" t="s">
        <v>4</v>
      </c>
      <c r="EN77" t="s">
        <v>4</v>
      </c>
      <c r="EO77" t="s">
        <v>4</v>
      </c>
      <c r="GV77" t="s">
        <v>4</v>
      </c>
      <c r="GW77" t="s">
        <v>4</v>
      </c>
      <c r="GX77" t="s">
        <v>4</v>
      </c>
      <c r="GY77" t="s">
        <v>4</v>
      </c>
      <c r="GZ77" t="s">
        <v>4</v>
      </c>
      <c r="IL77" t="s">
        <v>4</v>
      </c>
      <c r="IM77" t="s">
        <v>4</v>
      </c>
      <c r="IN77" t="s">
        <v>4</v>
      </c>
      <c r="IO77" t="s">
        <v>4</v>
      </c>
      <c r="IP77" t="s">
        <v>4</v>
      </c>
      <c r="KB77" t="s">
        <v>4</v>
      </c>
      <c r="KC77" t="s">
        <v>4</v>
      </c>
      <c r="KD77" t="s">
        <v>4</v>
      </c>
      <c r="KE77" t="s">
        <v>4</v>
      </c>
      <c r="KF77" t="s">
        <v>4</v>
      </c>
      <c r="LR77" t="s">
        <v>4</v>
      </c>
      <c r="LS77" t="s">
        <v>4</v>
      </c>
      <c r="LT77" t="s">
        <v>4</v>
      </c>
      <c r="LU77" t="s">
        <v>4</v>
      </c>
      <c r="LV77" t="s">
        <v>4</v>
      </c>
      <c r="NE77">
        <f>COUNTIF(C77:NC77, "Clinic")</f>
        <v>40</v>
      </c>
    </row>
    <row r="78" spans="1:369">
      <c r="A78" t="s">
        <v>78</v>
      </c>
      <c r="V78" t="s">
        <v>4</v>
      </c>
      <c r="W78" t="s">
        <v>4</v>
      </c>
      <c r="X78" t="s">
        <v>4</v>
      </c>
      <c r="Y78" t="s">
        <v>4</v>
      </c>
      <c r="Z78" t="s">
        <v>4</v>
      </c>
      <c r="BL78" t="s">
        <v>4</v>
      </c>
      <c r="BM78" t="s">
        <v>4</v>
      </c>
      <c r="BN78" t="s">
        <v>4</v>
      </c>
      <c r="BO78" t="s">
        <v>4</v>
      </c>
      <c r="BP78" t="s">
        <v>4</v>
      </c>
      <c r="DB78" t="s">
        <v>4</v>
      </c>
      <c r="DC78" t="s">
        <v>4</v>
      </c>
      <c r="DD78" t="s">
        <v>4</v>
      </c>
      <c r="DE78" t="s">
        <v>4</v>
      </c>
      <c r="DF78" t="s">
        <v>4</v>
      </c>
      <c r="EY78" t="s">
        <v>4</v>
      </c>
      <c r="EZ78" t="s">
        <v>4</v>
      </c>
      <c r="FA78" t="s">
        <v>4</v>
      </c>
      <c r="FB78" t="s">
        <v>4</v>
      </c>
      <c r="FC78" t="s">
        <v>4</v>
      </c>
      <c r="HC78" t="s">
        <v>4</v>
      </c>
      <c r="HD78" t="s">
        <v>4</v>
      </c>
      <c r="HE78" t="s">
        <v>4</v>
      </c>
      <c r="HF78" t="s">
        <v>4</v>
      </c>
      <c r="HG78" t="s">
        <v>4</v>
      </c>
      <c r="IS78" t="s">
        <v>4</v>
      </c>
      <c r="IT78" t="s">
        <v>4</v>
      </c>
      <c r="IU78" t="s">
        <v>4</v>
      </c>
      <c r="IV78" t="s">
        <v>4</v>
      </c>
      <c r="IW78" t="s">
        <v>4</v>
      </c>
      <c r="KI78" t="s">
        <v>4</v>
      </c>
      <c r="KJ78" t="s">
        <v>4</v>
      </c>
      <c r="KK78" t="s">
        <v>4</v>
      </c>
      <c r="KL78" t="s">
        <v>4</v>
      </c>
      <c r="KM78" t="s">
        <v>4</v>
      </c>
      <c r="LY78" t="s">
        <v>4</v>
      </c>
      <c r="LZ78" t="s">
        <v>4</v>
      </c>
      <c r="MA78" t="s">
        <v>4</v>
      </c>
      <c r="MB78" t="s">
        <v>4</v>
      </c>
      <c r="MC78" t="s">
        <v>4</v>
      </c>
      <c r="NE78">
        <f t="shared" ref="NE78:NE81" si="23">COUNTIF(C78:NC78, "Clinic")</f>
        <v>40</v>
      </c>
    </row>
    <row r="79" spans="1:369">
      <c r="A79" t="s">
        <v>79</v>
      </c>
      <c r="AC79" t="s">
        <v>4</v>
      </c>
      <c r="AD79" t="s">
        <v>4</v>
      </c>
      <c r="AE79" t="s">
        <v>4</v>
      </c>
      <c r="AF79" t="s">
        <v>4</v>
      </c>
      <c r="AG79" t="s">
        <v>4</v>
      </c>
      <c r="BS79" t="s">
        <v>4</v>
      </c>
      <c r="BT79" t="s">
        <v>4</v>
      </c>
      <c r="BU79" t="s">
        <v>4</v>
      </c>
      <c r="BV79" t="s">
        <v>4</v>
      </c>
      <c r="BW79" t="s">
        <v>4</v>
      </c>
      <c r="DI79" t="s">
        <v>4</v>
      </c>
      <c r="DJ79" t="s">
        <v>4</v>
      </c>
      <c r="DK79" t="s">
        <v>4</v>
      </c>
      <c r="DL79" t="s">
        <v>4</v>
      </c>
      <c r="DM79" t="s">
        <v>4</v>
      </c>
      <c r="FF79" t="s">
        <v>4</v>
      </c>
      <c r="FG79" t="s">
        <v>4</v>
      </c>
      <c r="FH79" t="s">
        <v>4</v>
      </c>
      <c r="FI79" t="s">
        <v>4</v>
      </c>
      <c r="FJ79" t="s">
        <v>4</v>
      </c>
      <c r="HJ79" t="s">
        <v>4</v>
      </c>
      <c r="HK79" t="s">
        <v>4</v>
      </c>
      <c r="HL79" t="s">
        <v>4</v>
      </c>
      <c r="HM79" t="s">
        <v>4</v>
      </c>
      <c r="HN79" t="s">
        <v>4</v>
      </c>
      <c r="IZ79" t="s">
        <v>4</v>
      </c>
      <c r="JA79" t="s">
        <v>4</v>
      </c>
      <c r="JB79" t="s">
        <v>4</v>
      </c>
      <c r="JC79" t="s">
        <v>4</v>
      </c>
      <c r="JD79" t="s">
        <v>4</v>
      </c>
      <c r="KP79" t="s">
        <v>4</v>
      </c>
      <c r="KQ79" t="s">
        <v>4</v>
      </c>
      <c r="KR79" t="s">
        <v>4</v>
      </c>
      <c r="KS79" t="s">
        <v>4</v>
      </c>
      <c r="KT79" t="s">
        <v>4</v>
      </c>
      <c r="MF79" t="s">
        <v>4</v>
      </c>
      <c r="MG79" t="s">
        <v>4</v>
      </c>
      <c r="MH79" t="s">
        <v>4</v>
      </c>
      <c r="MI79" t="s">
        <v>4</v>
      </c>
      <c r="MJ79" t="s">
        <v>4</v>
      </c>
      <c r="NE79">
        <f t="shared" si="23"/>
        <v>40</v>
      </c>
    </row>
    <row r="80" spans="1:369">
      <c r="A80" t="s">
        <v>80</v>
      </c>
      <c r="AJ80" t="s">
        <v>4</v>
      </c>
      <c r="AK80" t="s">
        <v>4</v>
      </c>
      <c r="AL80" t="s">
        <v>4</v>
      </c>
      <c r="AM80" t="s">
        <v>4</v>
      </c>
      <c r="AN80" t="s">
        <v>4</v>
      </c>
      <c r="BZ80" t="s">
        <v>4</v>
      </c>
      <c r="CA80" t="s">
        <v>4</v>
      </c>
      <c r="CB80" t="s">
        <v>4</v>
      </c>
      <c r="CC80" t="s">
        <v>4</v>
      </c>
      <c r="CD80" t="s">
        <v>4</v>
      </c>
      <c r="DP80" t="s">
        <v>4</v>
      </c>
      <c r="DQ80" t="s">
        <v>4</v>
      </c>
      <c r="DR80" t="s">
        <v>4</v>
      </c>
      <c r="DS80" t="s">
        <v>4</v>
      </c>
      <c r="DT80" t="s">
        <v>4</v>
      </c>
      <c r="FM80" t="s">
        <v>4</v>
      </c>
      <c r="FN80" t="s">
        <v>4</v>
      </c>
      <c r="FO80" t="s">
        <v>4</v>
      </c>
      <c r="FP80" t="s">
        <v>4</v>
      </c>
      <c r="FQ80" t="s">
        <v>4</v>
      </c>
      <c r="HQ80" t="s">
        <v>4</v>
      </c>
      <c r="HR80" t="s">
        <v>4</v>
      </c>
      <c r="HS80" t="s">
        <v>4</v>
      </c>
      <c r="HT80" t="s">
        <v>4</v>
      </c>
      <c r="HU80" t="s">
        <v>4</v>
      </c>
      <c r="JG80" t="s">
        <v>4</v>
      </c>
      <c r="JH80" t="s">
        <v>4</v>
      </c>
      <c r="JI80" t="s">
        <v>4</v>
      </c>
      <c r="JJ80" t="s">
        <v>4</v>
      </c>
      <c r="JK80" t="s">
        <v>4</v>
      </c>
      <c r="KW80" t="s">
        <v>4</v>
      </c>
      <c r="KX80" t="s">
        <v>4</v>
      </c>
      <c r="KY80" t="s">
        <v>4</v>
      </c>
      <c r="KZ80" t="s">
        <v>4</v>
      </c>
      <c r="LA80" t="s">
        <v>4</v>
      </c>
      <c r="MM80" t="s">
        <v>4</v>
      </c>
      <c r="MN80" t="s">
        <v>4</v>
      </c>
      <c r="MO80" t="s">
        <v>4</v>
      </c>
      <c r="MP80" t="s">
        <v>4</v>
      </c>
      <c r="MQ80" t="s">
        <v>4</v>
      </c>
      <c r="NE80">
        <f t="shared" si="23"/>
        <v>40</v>
      </c>
    </row>
    <row r="81" spans="1:369">
      <c r="A81" t="s">
        <v>81</v>
      </c>
      <c r="AQ81" t="s">
        <v>4</v>
      </c>
      <c r="AR81" t="s">
        <v>4</v>
      </c>
      <c r="AS81" t="s">
        <v>4</v>
      </c>
      <c r="AT81" t="s">
        <v>4</v>
      </c>
      <c r="AU81" t="s">
        <v>4</v>
      </c>
      <c r="CG81" t="s">
        <v>4</v>
      </c>
      <c r="CH81" t="s">
        <v>4</v>
      </c>
      <c r="CI81" t="s">
        <v>4</v>
      </c>
      <c r="CJ81" t="s">
        <v>4</v>
      </c>
      <c r="CK81" t="s">
        <v>4</v>
      </c>
      <c r="DW81" t="s">
        <v>4</v>
      </c>
      <c r="DX81" t="s">
        <v>4</v>
      </c>
      <c r="DY81" t="s">
        <v>4</v>
      </c>
      <c r="DZ81" t="s">
        <v>4</v>
      </c>
      <c r="EA81" t="s">
        <v>4</v>
      </c>
      <c r="GH81" s="12" t="s">
        <v>4</v>
      </c>
      <c r="GI81" s="12" t="s">
        <v>4</v>
      </c>
      <c r="GJ81" s="12" t="s">
        <v>4</v>
      </c>
      <c r="GK81" s="12" t="s">
        <v>4</v>
      </c>
      <c r="GL81" s="12" t="s">
        <v>4</v>
      </c>
      <c r="HX81" t="s">
        <v>4</v>
      </c>
      <c r="HY81" t="s">
        <v>4</v>
      </c>
      <c r="HZ81" t="s">
        <v>4</v>
      </c>
      <c r="IA81" t="s">
        <v>4</v>
      </c>
      <c r="IB81" t="s">
        <v>4</v>
      </c>
      <c r="JN81" t="s">
        <v>4</v>
      </c>
      <c r="JO81" t="s">
        <v>4</v>
      </c>
      <c r="JP81" t="s">
        <v>4</v>
      </c>
      <c r="JQ81" t="s">
        <v>4</v>
      </c>
      <c r="JR81" t="s">
        <v>4</v>
      </c>
      <c r="LD81" t="s">
        <v>4</v>
      </c>
      <c r="LE81" t="s">
        <v>4</v>
      </c>
      <c r="LF81" t="s">
        <v>4</v>
      </c>
      <c r="LG81" t="s">
        <v>4</v>
      </c>
      <c r="LH81" t="s">
        <v>4</v>
      </c>
      <c r="MT81" t="s">
        <v>4</v>
      </c>
      <c r="MU81" t="s">
        <v>4</v>
      </c>
      <c r="MV81" t="s">
        <v>4</v>
      </c>
      <c r="MW81" t="s">
        <v>4</v>
      </c>
      <c r="MX81" t="s">
        <v>4</v>
      </c>
      <c r="NE81">
        <f t="shared" si="23"/>
        <v>40</v>
      </c>
    </row>
    <row r="82" spans="1:369">
      <c r="A82" t="s">
        <v>82</v>
      </c>
      <c r="H82" t="s">
        <v>4</v>
      </c>
      <c r="I82" t="s">
        <v>4</v>
      </c>
      <c r="J82" t="s">
        <v>4</v>
      </c>
      <c r="K82" t="s">
        <v>4</v>
      </c>
      <c r="L82" t="s">
        <v>4</v>
      </c>
      <c r="AX82" t="s">
        <v>4</v>
      </c>
      <c r="AY82" t="s">
        <v>4</v>
      </c>
      <c r="AZ82" t="s">
        <v>4</v>
      </c>
      <c r="BA82" t="s">
        <v>4</v>
      </c>
      <c r="BB82" t="s">
        <v>4</v>
      </c>
      <c r="CN82" t="s">
        <v>4</v>
      </c>
      <c r="CO82" t="s">
        <v>4</v>
      </c>
      <c r="CP82" t="s">
        <v>4</v>
      </c>
      <c r="CQ82" t="s">
        <v>4</v>
      </c>
      <c r="CR82" t="s">
        <v>4</v>
      </c>
      <c r="ED82" t="s">
        <v>4</v>
      </c>
      <c r="EE82" t="s">
        <v>4</v>
      </c>
      <c r="EF82" t="s">
        <v>4</v>
      </c>
      <c r="EG82" t="s">
        <v>4</v>
      </c>
      <c r="EH82" t="s">
        <v>4</v>
      </c>
      <c r="GO82" t="s">
        <v>4</v>
      </c>
      <c r="GP82" t="s">
        <v>4</v>
      </c>
      <c r="GQ82" t="s">
        <v>4</v>
      </c>
      <c r="GR82" t="s">
        <v>4</v>
      </c>
      <c r="GS82" t="s">
        <v>4</v>
      </c>
      <c r="IE82" t="s">
        <v>4</v>
      </c>
      <c r="IF82" t="s">
        <v>4</v>
      </c>
      <c r="IG82" t="s">
        <v>4</v>
      </c>
      <c r="IH82" t="s">
        <v>4</v>
      </c>
      <c r="II82" t="s">
        <v>4</v>
      </c>
      <c r="JU82" t="s">
        <v>4</v>
      </c>
      <c r="JV82" t="s">
        <v>4</v>
      </c>
      <c r="JW82" t="s">
        <v>4</v>
      </c>
      <c r="JX82" t="s">
        <v>4</v>
      </c>
      <c r="JY82" t="s">
        <v>4</v>
      </c>
      <c r="LK82" t="s">
        <v>4</v>
      </c>
      <c r="LL82" t="s">
        <v>4</v>
      </c>
      <c r="LM82" t="s">
        <v>4</v>
      </c>
      <c r="LN82" t="s">
        <v>4</v>
      </c>
      <c r="LO82" t="s">
        <v>4</v>
      </c>
      <c r="NE82">
        <f>COUNTIF(C82:NC82, "Clinic")</f>
        <v>40</v>
      </c>
    </row>
    <row r="83" spans="1:369">
      <c r="A83" t="s">
        <v>83</v>
      </c>
      <c r="O83" t="s">
        <v>4</v>
      </c>
      <c r="P83" t="s">
        <v>4</v>
      </c>
      <c r="Q83" t="s">
        <v>4</v>
      </c>
      <c r="R83" t="s">
        <v>4</v>
      </c>
      <c r="S83" t="s">
        <v>4</v>
      </c>
      <c r="BE83" t="s">
        <v>4</v>
      </c>
      <c r="BF83" t="s">
        <v>4</v>
      </c>
      <c r="BG83" t="s">
        <v>4</v>
      </c>
      <c r="BH83" t="s">
        <v>4</v>
      </c>
      <c r="BI83" t="s">
        <v>4</v>
      </c>
      <c r="CU83" t="s">
        <v>4</v>
      </c>
      <c r="CV83" t="s">
        <v>4</v>
      </c>
      <c r="CW83" t="s">
        <v>4</v>
      </c>
      <c r="CX83" t="s">
        <v>4</v>
      </c>
      <c r="CY83" t="s">
        <v>4</v>
      </c>
      <c r="EK83" t="s">
        <v>4</v>
      </c>
      <c r="EL83" t="s">
        <v>4</v>
      </c>
      <c r="EM83" t="s">
        <v>4</v>
      </c>
      <c r="EN83" t="s">
        <v>4</v>
      </c>
      <c r="EO83" t="s">
        <v>4</v>
      </c>
      <c r="GV83" t="s">
        <v>4</v>
      </c>
      <c r="GW83" t="s">
        <v>4</v>
      </c>
      <c r="GX83" t="s">
        <v>4</v>
      </c>
      <c r="GY83" t="s">
        <v>4</v>
      </c>
      <c r="GZ83" t="s">
        <v>4</v>
      </c>
      <c r="IL83" t="s">
        <v>4</v>
      </c>
      <c r="IM83" t="s">
        <v>4</v>
      </c>
      <c r="IN83" t="s">
        <v>4</v>
      </c>
      <c r="IO83" t="s">
        <v>4</v>
      </c>
      <c r="IP83" t="s">
        <v>4</v>
      </c>
      <c r="KB83" t="s">
        <v>4</v>
      </c>
      <c r="KC83" t="s">
        <v>4</v>
      </c>
      <c r="KD83" t="s">
        <v>4</v>
      </c>
      <c r="KE83" t="s">
        <v>4</v>
      </c>
      <c r="KF83" t="s">
        <v>4</v>
      </c>
      <c r="LR83" t="s">
        <v>4</v>
      </c>
      <c r="LS83" t="s">
        <v>4</v>
      </c>
      <c r="LT83" t="s">
        <v>4</v>
      </c>
      <c r="LU83" t="s">
        <v>4</v>
      </c>
      <c r="LV83" t="s">
        <v>4</v>
      </c>
      <c r="NE83">
        <f>COUNTIF(C83:NC83, "Clinic")</f>
        <v>40</v>
      </c>
    </row>
    <row r="84" spans="1:369">
      <c r="A84" t="s">
        <v>84</v>
      </c>
      <c r="V84" t="s">
        <v>4</v>
      </c>
      <c r="W84" t="s">
        <v>4</v>
      </c>
      <c r="X84" t="s">
        <v>4</v>
      </c>
      <c r="Y84" t="s">
        <v>4</v>
      </c>
      <c r="Z84" t="s">
        <v>4</v>
      </c>
      <c r="BL84" t="s">
        <v>4</v>
      </c>
      <c r="BM84" t="s">
        <v>4</v>
      </c>
      <c r="BN84" t="s">
        <v>4</v>
      </c>
      <c r="BO84" t="s">
        <v>4</v>
      </c>
      <c r="BP84" t="s">
        <v>4</v>
      </c>
      <c r="DB84" t="s">
        <v>4</v>
      </c>
      <c r="DC84" t="s">
        <v>4</v>
      </c>
      <c r="DD84" t="s">
        <v>4</v>
      </c>
      <c r="DE84" t="s">
        <v>4</v>
      </c>
      <c r="DF84" t="s">
        <v>4</v>
      </c>
      <c r="EY84" t="s">
        <v>4</v>
      </c>
      <c r="EZ84" t="s">
        <v>4</v>
      </c>
      <c r="FA84" t="s">
        <v>4</v>
      </c>
      <c r="FB84" t="s">
        <v>4</v>
      </c>
      <c r="FC84" t="s">
        <v>4</v>
      </c>
      <c r="HC84" t="s">
        <v>4</v>
      </c>
      <c r="HD84" t="s">
        <v>4</v>
      </c>
      <c r="HE84" t="s">
        <v>4</v>
      </c>
      <c r="HF84" t="s">
        <v>4</v>
      </c>
      <c r="HG84" t="s">
        <v>4</v>
      </c>
      <c r="IS84" t="s">
        <v>4</v>
      </c>
      <c r="IT84" t="s">
        <v>4</v>
      </c>
      <c r="IU84" t="s">
        <v>4</v>
      </c>
      <c r="IV84" t="s">
        <v>4</v>
      </c>
      <c r="IW84" t="s">
        <v>4</v>
      </c>
      <c r="KI84" t="s">
        <v>4</v>
      </c>
      <c r="KJ84" t="s">
        <v>4</v>
      </c>
      <c r="KK84" t="s">
        <v>4</v>
      </c>
      <c r="KL84" t="s">
        <v>4</v>
      </c>
      <c r="KM84" t="s">
        <v>4</v>
      </c>
      <c r="LY84" t="s">
        <v>4</v>
      </c>
      <c r="LZ84" t="s">
        <v>4</v>
      </c>
      <c r="MA84" t="s">
        <v>4</v>
      </c>
      <c r="MB84" t="s">
        <v>4</v>
      </c>
      <c r="MC84" t="s">
        <v>4</v>
      </c>
      <c r="NE84">
        <f t="shared" ref="NE84:NE86" si="24">COUNTIF(C84:NC84, "Clinic")</f>
        <v>40</v>
      </c>
    </row>
    <row r="85" spans="1:369">
      <c r="A85" t="s">
        <v>85</v>
      </c>
      <c r="AC85" t="s">
        <v>4</v>
      </c>
      <c r="AD85" t="s">
        <v>4</v>
      </c>
      <c r="AE85" t="s">
        <v>4</v>
      </c>
      <c r="AF85" t="s">
        <v>4</v>
      </c>
      <c r="AG85" t="s">
        <v>4</v>
      </c>
      <c r="BS85" t="s">
        <v>4</v>
      </c>
      <c r="BT85" t="s">
        <v>4</v>
      </c>
      <c r="BU85" t="s">
        <v>4</v>
      </c>
      <c r="BV85" t="s">
        <v>4</v>
      </c>
      <c r="BW85" t="s">
        <v>4</v>
      </c>
      <c r="DI85" t="s">
        <v>4</v>
      </c>
      <c r="DJ85" t="s">
        <v>4</v>
      </c>
      <c r="DK85" t="s">
        <v>4</v>
      </c>
      <c r="DL85" t="s">
        <v>4</v>
      </c>
      <c r="DM85" t="s">
        <v>4</v>
      </c>
      <c r="FF85" t="s">
        <v>4</v>
      </c>
      <c r="FG85" t="s">
        <v>4</v>
      </c>
      <c r="FH85" t="s">
        <v>4</v>
      </c>
      <c r="FI85" t="s">
        <v>4</v>
      </c>
      <c r="FJ85" t="s">
        <v>4</v>
      </c>
      <c r="HJ85" t="s">
        <v>4</v>
      </c>
      <c r="HK85" t="s">
        <v>4</v>
      </c>
      <c r="HL85" t="s">
        <v>4</v>
      </c>
      <c r="HM85" t="s">
        <v>4</v>
      </c>
      <c r="HN85" t="s">
        <v>4</v>
      </c>
      <c r="IZ85" t="s">
        <v>4</v>
      </c>
      <c r="JA85" t="s">
        <v>4</v>
      </c>
      <c r="JB85" t="s">
        <v>4</v>
      </c>
      <c r="JC85" t="s">
        <v>4</v>
      </c>
      <c r="JD85" t="s">
        <v>4</v>
      </c>
      <c r="KP85" t="s">
        <v>4</v>
      </c>
      <c r="KQ85" t="s">
        <v>4</v>
      </c>
      <c r="KR85" t="s">
        <v>4</v>
      </c>
      <c r="KS85" t="s">
        <v>4</v>
      </c>
      <c r="KT85" t="s">
        <v>4</v>
      </c>
      <c r="MF85" t="s">
        <v>4</v>
      </c>
      <c r="MG85" t="s">
        <v>4</v>
      </c>
      <c r="MH85" t="s">
        <v>4</v>
      </c>
      <c r="MI85" t="s">
        <v>4</v>
      </c>
      <c r="MJ85" t="s">
        <v>4</v>
      </c>
      <c r="NE85">
        <f t="shared" si="24"/>
        <v>40</v>
      </c>
    </row>
    <row r="86" spans="1:369">
      <c r="A86" t="s">
        <v>86</v>
      </c>
      <c r="NE86">
        <f t="shared" si="24"/>
        <v>0</v>
      </c>
    </row>
    <row r="87" spans="1:369">
      <c r="A87" t="s">
        <v>87</v>
      </c>
      <c r="GH87" s="12"/>
      <c r="GI87" s="12"/>
      <c r="GJ87" s="12"/>
      <c r="GK87" s="12"/>
      <c r="GL87" s="12"/>
    </row>
    <row r="88" spans="1:369">
      <c r="A88" t="s">
        <v>88</v>
      </c>
    </row>
    <row r="89" spans="1:369">
      <c r="A89" t="s">
        <v>89</v>
      </c>
    </row>
    <row r="90" spans="1:369">
      <c r="A90" t="s">
        <v>90</v>
      </c>
    </row>
    <row r="91" spans="1:369">
      <c r="A91" t="s">
        <v>91</v>
      </c>
    </row>
    <row r="92" spans="1:369">
      <c r="A92" t="s">
        <v>92</v>
      </c>
    </row>
    <row r="93" spans="1:369">
      <c r="A93" t="s">
        <v>93</v>
      </c>
    </row>
    <row r="94" spans="1:369">
      <c r="A94" t="s">
        <v>94</v>
      </c>
    </row>
    <row r="95" spans="1:369">
      <c r="A95" t="s">
        <v>95</v>
      </c>
    </row>
    <row r="96" spans="1:369">
      <c r="A96" t="s">
        <v>96</v>
      </c>
    </row>
    <row r="97" spans="1:1">
      <c r="A97" t="s">
        <v>97</v>
      </c>
    </row>
    <row r="98" spans="1:1">
      <c r="A98" t="s">
        <v>98</v>
      </c>
    </row>
    <row r="99" spans="1:1">
      <c r="A99" t="s">
        <v>99</v>
      </c>
    </row>
    <row r="100" spans="1:1">
      <c r="A100" t="s">
        <v>100</v>
      </c>
    </row>
    <row r="101" spans="1:1">
      <c r="A101" t="s">
        <v>101</v>
      </c>
    </row>
    <row r="102" spans="1:1">
      <c r="A102" t="s">
        <v>102</v>
      </c>
    </row>
    <row r="103" spans="1:1">
      <c r="A103" t="s">
        <v>103</v>
      </c>
    </row>
    <row r="104" spans="1:1">
      <c r="A104" t="s">
        <v>104</v>
      </c>
    </row>
    <row r="105" spans="1:1">
      <c r="A105" t="s">
        <v>105</v>
      </c>
    </row>
    <row r="106" spans="1:1">
      <c r="A106" t="s">
        <v>106</v>
      </c>
    </row>
    <row r="107" spans="1:1">
      <c r="A107" t="s">
        <v>107</v>
      </c>
    </row>
    <row r="108" spans="1:1">
      <c r="A108" t="s">
        <v>108</v>
      </c>
    </row>
    <row r="109" spans="1:1">
      <c r="A109" t="s">
        <v>109</v>
      </c>
    </row>
    <row r="110" spans="1:1">
      <c r="A110" t="s">
        <v>110</v>
      </c>
    </row>
    <row r="111" spans="1:1">
      <c r="A111" t="s">
        <v>111</v>
      </c>
    </row>
    <row r="112" spans="1:1">
      <c r="A112" t="s">
        <v>112</v>
      </c>
    </row>
    <row r="113" spans="1:367">
      <c r="A113" t="s">
        <v>113</v>
      </c>
    </row>
    <row r="114" spans="1:367">
      <c r="A114" t="s">
        <v>114</v>
      </c>
    </row>
    <row r="115" spans="1:367">
      <c r="A115" t="s">
        <v>115</v>
      </c>
    </row>
    <row r="116" spans="1:367">
      <c r="A116" t="s">
        <v>116</v>
      </c>
    </row>
    <row r="117" spans="1:367">
      <c r="A117" t="s">
        <v>117</v>
      </c>
    </row>
    <row r="118" spans="1:367">
      <c r="A118" t="s">
        <v>118</v>
      </c>
    </row>
    <row r="119" spans="1:367">
      <c r="A119" t="s">
        <v>119</v>
      </c>
    </row>
    <row r="120" spans="1:367">
      <c r="A120" t="s">
        <v>120</v>
      </c>
    </row>
    <row r="121" spans="1:367">
      <c r="A121" t="s">
        <v>121</v>
      </c>
    </row>
    <row r="125" spans="1:367">
      <c r="A125" t="s">
        <v>122</v>
      </c>
      <c r="C125">
        <f>COUNTIF(D4:D126, "Clinic")</f>
        <v>0</v>
      </c>
      <c r="D125">
        <f t="shared" ref="D125:BO125" si="25">COUNTIF(E4:E126, "Clinic")</f>
        <v>0</v>
      </c>
      <c r="E125">
        <f t="shared" si="25"/>
        <v>0</v>
      </c>
      <c r="F125">
        <f t="shared" si="25"/>
        <v>0</v>
      </c>
      <c r="G125">
        <f t="shared" si="25"/>
        <v>14</v>
      </c>
      <c r="H125">
        <f t="shared" si="25"/>
        <v>14</v>
      </c>
      <c r="I125">
        <f t="shared" si="25"/>
        <v>14</v>
      </c>
      <c r="J125">
        <f t="shared" si="25"/>
        <v>14</v>
      </c>
      <c r="K125">
        <f t="shared" si="25"/>
        <v>14</v>
      </c>
      <c r="L125">
        <f t="shared" si="25"/>
        <v>0</v>
      </c>
      <c r="M125">
        <f t="shared" si="25"/>
        <v>0</v>
      </c>
      <c r="N125">
        <f t="shared" si="25"/>
        <v>14</v>
      </c>
      <c r="O125">
        <f t="shared" si="25"/>
        <v>14</v>
      </c>
      <c r="P125">
        <f t="shared" si="25"/>
        <v>14</v>
      </c>
      <c r="Q125">
        <f t="shared" si="25"/>
        <v>14</v>
      </c>
      <c r="R125">
        <f t="shared" si="25"/>
        <v>14</v>
      </c>
      <c r="S125">
        <f t="shared" si="25"/>
        <v>0</v>
      </c>
      <c r="T125">
        <f t="shared" si="25"/>
        <v>0</v>
      </c>
      <c r="U125">
        <f t="shared" si="25"/>
        <v>14</v>
      </c>
      <c r="V125">
        <f t="shared" si="25"/>
        <v>14</v>
      </c>
      <c r="W125">
        <f t="shared" si="25"/>
        <v>14</v>
      </c>
      <c r="X125">
        <f t="shared" si="25"/>
        <v>14</v>
      </c>
      <c r="Y125">
        <f t="shared" si="25"/>
        <v>14</v>
      </c>
      <c r="Z125">
        <f t="shared" si="25"/>
        <v>0</v>
      </c>
      <c r="AA125">
        <f t="shared" si="25"/>
        <v>0</v>
      </c>
      <c r="AB125">
        <f t="shared" si="25"/>
        <v>14</v>
      </c>
      <c r="AC125">
        <f t="shared" si="25"/>
        <v>14</v>
      </c>
      <c r="AD125">
        <f t="shared" si="25"/>
        <v>14</v>
      </c>
      <c r="AE125">
        <f t="shared" si="25"/>
        <v>14</v>
      </c>
      <c r="AF125">
        <f t="shared" si="25"/>
        <v>14</v>
      </c>
      <c r="AG125">
        <f t="shared" si="25"/>
        <v>0</v>
      </c>
      <c r="AH125">
        <f t="shared" si="25"/>
        <v>0</v>
      </c>
      <c r="AI125">
        <f t="shared" si="25"/>
        <v>13</v>
      </c>
      <c r="AJ125">
        <f t="shared" si="25"/>
        <v>13</v>
      </c>
      <c r="AK125">
        <f t="shared" si="25"/>
        <v>13</v>
      </c>
      <c r="AL125">
        <f t="shared" si="25"/>
        <v>13</v>
      </c>
      <c r="AM125">
        <f t="shared" si="25"/>
        <v>13</v>
      </c>
      <c r="AN125">
        <f t="shared" si="25"/>
        <v>0</v>
      </c>
      <c r="AO125">
        <f t="shared" si="25"/>
        <v>0</v>
      </c>
      <c r="AP125">
        <f t="shared" si="25"/>
        <v>13</v>
      </c>
      <c r="AQ125">
        <f t="shared" si="25"/>
        <v>13</v>
      </c>
      <c r="AR125">
        <f t="shared" si="25"/>
        <v>13</v>
      </c>
      <c r="AS125">
        <f t="shared" si="25"/>
        <v>13</v>
      </c>
      <c r="AT125">
        <f t="shared" si="25"/>
        <v>13</v>
      </c>
      <c r="AU125">
        <f t="shared" si="25"/>
        <v>0</v>
      </c>
      <c r="AV125">
        <f t="shared" si="25"/>
        <v>0</v>
      </c>
      <c r="AW125">
        <f t="shared" si="25"/>
        <v>14</v>
      </c>
      <c r="AX125">
        <f t="shared" si="25"/>
        <v>14</v>
      </c>
      <c r="AY125">
        <f t="shared" si="25"/>
        <v>14</v>
      </c>
      <c r="AZ125">
        <f t="shared" si="25"/>
        <v>14</v>
      </c>
      <c r="BA125">
        <f t="shared" si="25"/>
        <v>14</v>
      </c>
      <c r="BB125">
        <f t="shared" si="25"/>
        <v>0</v>
      </c>
      <c r="BC125">
        <f t="shared" si="25"/>
        <v>0</v>
      </c>
      <c r="BD125">
        <f t="shared" si="25"/>
        <v>14</v>
      </c>
      <c r="BE125">
        <f t="shared" si="25"/>
        <v>14</v>
      </c>
      <c r="BF125">
        <f t="shared" si="25"/>
        <v>14</v>
      </c>
      <c r="BG125">
        <f t="shared" si="25"/>
        <v>14</v>
      </c>
      <c r="BH125">
        <f t="shared" si="25"/>
        <v>14</v>
      </c>
      <c r="BI125">
        <f t="shared" si="25"/>
        <v>0</v>
      </c>
      <c r="BJ125">
        <f t="shared" si="25"/>
        <v>0</v>
      </c>
      <c r="BK125">
        <f t="shared" si="25"/>
        <v>14</v>
      </c>
      <c r="BL125">
        <f t="shared" si="25"/>
        <v>14</v>
      </c>
      <c r="BM125">
        <f t="shared" si="25"/>
        <v>14</v>
      </c>
      <c r="BN125">
        <f t="shared" si="25"/>
        <v>14</v>
      </c>
      <c r="BO125">
        <f t="shared" si="25"/>
        <v>14</v>
      </c>
      <c r="BP125">
        <f t="shared" ref="BP125:EA125" si="26">COUNTIF(BQ4:BQ126, "Clinic")</f>
        <v>0</v>
      </c>
      <c r="BQ125">
        <f t="shared" si="26"/>
        <v>0</v>
      </c>
      <c r="BR125">
        <f t="shared" si="26"/>
        <v>14</v>
      </c>
      <c r="BS125">
        <f t="shared" si="26"/>
        <v>14</v>
      </c>
      <c r="BT125">
        <f t="shared" si="26"/>
        <v>14</v>
      </c>
      <c r="BU125">
        <f t="shared" si="26"/>
        <v>14</v>
      </c>
      <c r="BV125">
        <f t="shared" si="26"/>
        <v>14</v>
      </c>
      <c r="BW125">
        <f t="shared" si="26"/>
        <v>0</v>
      </c>
      <c r="BX125">
        <f t="shared" si="26"/>
        <v>0</v>
      </c>
      <c r="BY125">
        <f t="shared" si="26"/>
        <v>13</v>
      </c>
      <c r="BZ125">
        <f t="shared" si="26"/>
        <v>13</v>
      </c>
      <c r="CA125">
        <f t="shared" si="26"/>
        <v>13</v>
      </c>
      <c r="CB125">
        <f t="shared" si="26"/>
        <v>13</v>
      </c>
      <c r="CC125">
        <f t="shared" si="26"/>
        <v>13</v>
      </c>
      <c r="CD125">
        <f t="shared" si="26"/>
        <v>0</v>
      </c>
      <c r="CE125">
        <f t="shared" si="26"/>
        <v>0</v>
      </c>
      <c r="CF125">
        <f t="shared" si="26"/>
        <v>13</v>
      </c>
      <c r="CG125">
        <f t="shared" si="26"/>
        <v>13</v>
      </c>
      <c r="CH125">
        <f t="shared" si="26"/>
        <v>13</v>
      </c>
      <c r="CI125">
        <f t="shared" si="26"/>
        <v>13</v>
      </c>
      <c r="CJ125">
        <f t="shared" si="26"/>
        <v>13</v>
      </c>
      <c r="CK125">
        <f t="shared" si="26"/>
        <v>0</v>
      </c>
      <c r="CL125">
        <f t="shared" si="26"/>
        <v>0</v>
      </c>
      <c r="CM125">
        <f t="shared" si="26"/>
        <v>14</v>
      </c>
      <c r="CN125">
        <f t="shared" si="26"/>
        <v>14</v>
      </c>
      <c r="CO125">
        <f t="shared" si="26"/>
        <v>14</v>
      </c>
      <c r="CP125">
        <f t="shared" si="26"/>
        <v>14</v>
      </c>
      <c r="CQ125">
        <f t="shared" si="26"/>
        <v>14</v>
      </c>
      <c r="CR125">
        <f t="shared" si="26"/>
        <v>0</v>
      </c>
      <c r="CS125">
        <f t="shared" si="26"/>
        <v>0</v>
      </c>
      <c r="CT125">
        <f t="shared" si="26"/>
        <v>14</v>
      </c>
      <c r="CU125">
        <f t="shared" si="26"/>
        <v>14</v>
      </c>
      <c r="CV125">
        <f t="shared" si="26"/>
        <v>14</v>
      </c>
      <c r="CW125">
        <f t="shared" si="26"/>
        <v>14</v>
      </c>
      <c r="CX125">
        <f t="shared" si="26"/>
        <v>14</v>
      </c>
      <c r="CY125">
        <f t="shared" si="26"/>
        <v>0</v>
      </c>
      <c r="CZ125">
        <f t="shared" si="26"/>
        <v>0</v>
      </c>
      <c r="DA125">
        <f t="shared" si="26"/>
        <v>14</v>
      </c>
      <c r="DB125">
        <f t="shared" si="26"/>
        <v>14</v>
      </c>
      <c r="DC125">
        <f t="shared" si="26"/>
        <v>14</v>
      </c>
      <c r="DD125">
        <f t="shared" si="26"/>
        <v>14</v>
      </c>
      <c r="DE125">
        <f t="shared" si="26"/>
        <v>14</v>
      </c>
      <c r="DF125">
        <f t="shared" si="26"/>
        <v>0</v>
      </c>
      <c r="DG125">
        <f t="shared" si="26"/>
        <v>0</v>
      </c>
      <c r="DH125">
        <f t="shared" si="26"/>
        <v>14</v>
      </c>
      <c r="DI125">
        <f t="shared" si="26"/>
        <v>14</v>
      </c>
      <c r="DJ125">
        <f t="shared" si="26"/>
        <v>14</v>
      </c>
      <c r="DK125">
        <f t="shared" si="26"/>
        <v>14</v>
      </c>
      <c r="DL125">
        <f t="shared" si="26"/>
        <v>14</v>
      </c>
      <c r="DM125">
        <f t="shared" si="26"/>
        <v>0</v>
      </c>
      <c r="DN125">
        <f t="shared" si="26"/>
        <v>0</v>
      </c>
      <c r="DO125">
        <f t="shared" si="26"/>
        <v>13</v>
      </c>
      <c r="DP125">
        <f t="shared" si="26"/>
        <v>13</v>
      </c>
      <c r="DQ125">
        <f t="shared" si="26"/>
        <v>13</v>
      </c>
      <c r="DR125">
        <f t="shared" si="26"/>
        <v>13</v>
      </c>
      <c r="DS125">
        <f t="shared" si="26"/>
        <v>13</v>
      </c>
      <c r="DT125">
        <f t="shared" si="26"/>
        <v>0</v>
      </c>
      <c r="DU125">
        <f t="shared" si="26"/>
        <v>0</v>
      </c>
      <c r="DV125">
        <f t="shared" si="26"/>
        <v>13</v>
      </c>
      <c r="DW125">
        <f t="shared" si="26"/>
        <v>13</v>
      </c>
      <c r="DX125">
        <f t="shared" si="26"/>
        <v>13</v>
      </c>
      <c r="DY125">
        <f t="shared" si="26"/>
        <v>13</v>
      </c>
      <c r="DZ125">
        <f t="shared" si="26"/>
        <v>13</v>
      </c>
      <c r="EA125">
        <f t="shared" si="26"/>
        <v>0</v>
      </c>
      <c r="EB125">
        <f t="shared" ref="EB125:GM125" si="27">COUNTIF(EC4:EC126, "Clinic")</f>
        <v>0</v>
      </c>
      <c r="EC125">
        <f t="shared" si="27"/>
        <v>14</v>
      </c>
      <c r="ED125">
        <f t="shared" si="27"/>
        <v>14</v>
      </c>
      <c r="EE125">
        <f t="shared" si="27"/>
        <v>14</v>
      </c>
      <c r="EF125">
        <f t="shared" si="27"/>
        <v>14</v>
      </c>
      <c r="EG125">
        <f t="shared" si="27"/>
        <v>14</v>
      </c>
      <c r="EH125">
        <f t="shared" si="27"/>
        <v>0</v>
      </c>
      <c r="EI125">
        <f t="shared" si="27"/>
        <v>0</v>
      </c>
      <c r="EJ125">
        <f t="shared" si="27"/>
        <v>14</v>
      </c>
      <c r="EK125">
        <f t="shared" si="27"/>
        <v>14</v>
      </c>
      <c r="EL125">
        <f t="shared" si="27"/>
        <v>14</v>
      </c>
      <c r="EM125">
        <f t="shared" si="27"/>
        <v>14</v>
      </c>
      <c r="EN125">
        <f t="shared" si="27"/>
        <v>14</v>
      </c>
      <c r="EO125">
        <f t="shared" si="27"/>
        <v>0</v>
      </c>
      <c r="EP125">
        <f t="shared" si="27"/>
        <v>0</v>
      </c>
      <c r="EQ125">
        <f t="shared" si="27"/>
        <v>0</v>
      </c>
      <c r="ER125">
        <f t="shared" si="27"/>
        <v>0</v>
      </c>
      <c r="ES125">
        <f t="shared" si="27"/>
        <v>0</v>
      </c>
      <c r="ET125">
        <f t="shared" si="27"/>
        <v>0</v>
      </c>
      <c r="EU125">
        <f t="shared" si="27"/>
        <v>0</v>
      </c>
      <c r="EV125">
        <f t="shared" si="27"/>
        <v>0</v>
      </c>
      <c r="EW125">
        <f t="shared" si="27"/>
        <v>0</v>
      </c>
      <c r="EX125">
        <f t="shared" si="27"/>
        <v>14</v>
      </c>
      <c r="EY125">
        <f t="shared" si="27"/>
        <v>14</v>
      </c>
      <c r="EZ125">
        <f t="shared" si="27"/>
        <v>14</v>
      </c>
      <c r="FA125">
        <f t="shared" si="27"/>
        <v>14</v>
      </c>
      <c r="FB125">
        <f t="shared" si="27"/>
        <v>14</v>
      </c>
      <c r="FC125">
        <f t="shared" si="27"/>
        <v>0</v>
      </c>
      <c r="FD125">
        <f t="shared" si="27"/>
        <v>0</v>
      </c>
      <c r="FE125">
        <f t="shared" si="27"/>
        <v>14</v>
      </c>
      <c r="FF125">
        <f t="shared" si="27"/>
        <v>14</v>
      </c>
      <c r="FG125">
        <f t="shared" si="27"/>
        <v>14</v>
      </c>
      <c r="FH125">
        <f t="shared" si="27"/>
        <v>14</v>
      </c>
      <c r="FI125">
        <f t="shared" si="27"/>
        <v>14</v>
      </c>
      <c r="FJ125">
        <f t="shared" si="27"/>
        <v>0</v>
      </c>
      <c r="FK125">
        <f t="shared" si="27"/>
        <v>0</v>
      </c>
      <c r="FL125">
        <f t="shared" si="27"/>
        <v>13</v>
      </c>
      <c r="FM125">
        <f t="shared" si="27"/>
        <v>13</v>
      </c>
      <c r="FN125">
        <f t="shared" si="27"/>
        <v>13</v>
      </c>
      <c r="FO125">
        <f t="shared" si="27"/>
        <v>13</v>
      </c>
      <c r="FP125">
        <f t="shared" si="27"/>
        <v>13</v>
      </c>
      <c r="FQ125">
        <f t="shared" si="27"/>
        <v>0</v>
      </c>
      <c r="FR125">
        <f t="shared" si="27"/>
        <v>0</v>
      </c>
      <c r="FS125">
        <f t="shared" si="27"/>
        <v>0</v>
      </c>
      <c r="FT125">
        <f t="shared" si="27"/>
        <v>0</v>
      </c>
      <c r="FU125">
        <f t="shared" si="27"/>
        <v>0</v>
      </c>
      <c r="FV125">
        <f t="shared" si="27"/>
        <v>0</v>
      </c>
      <c r="FW125">
        <f t="shared" si="27"/>
        <v>0</v>
      </c>
      <c r="FX125">
        <f t="shared" si="27"/>
        <v>0</v>
      </c>
      <c r="FY125">
        <f t="shared" si="27"/>
        <v>0</v>
      </c>
      <c r="FZ125">
        <f t="shared" si="27"/>
        <v>0</v>
      </c>
      <c r="GA125">
        <f t="shared" si="27"/>
        <v>0</v>
      </c>
      <c r="GB125">
        <f t="shared" si="27"/>
        <v>0</v>
      </c>
      <c r="GC125">
        <f t="shared" si="27"/>
        <v>0</v>
      </c>
      <c r="GD125">
        <f t="shared" si="27"/>
        <v>0</v>
      </c>
      <c r="GE125">
        <f t="shared" si="27"/>
        <v>0</v>
      </c>
      <c r="GF125">
        <f t="shared" si="27"/>
        <v>0</v>
      </c>
      <c r="GG125">
        <f t="shared" si="27"/>
        <v>13</v>
      </c>
      <c r="GH125">
        <f t="shared" si="27"/>
        <v>13</v>
      </c>
      <c r="GI125">
        <f t="shared" si="27"/>
        <v>13</v>
      </c>
      <c r="GJ125">
        <f t="shared" si="27"/>
        <v>13</v>
      </c>
      <c r="GK125">
        <f t="shared" si="27"/>
        <v>13</v>
      </c>
      <c r="GL125">
        <f t="shared" si="27"/>
        <v>0</v>
      </c>
      <c r="GM125">
        <f t="shared" si="27"/>
        <v>0</v>
      </c>
      <c r="GN125">
        <f t="shared" ref="GN125:IY125" si="28">COUNTIF(GO4:GO126, "Clinic")</f>
        <v>14</v>
      </c>
      <c r="GO125">
        <f t="shared" si="28"/>
        <v>14</v>
      </c>
      <c r="GP125">
        <f t="shared" si="28"/>
        <v>14</v>
      </c>
      <c r="GQ125">
        <f t="shared" si="28"/>
        <v>14</v>
      </c>
      <c r="GR125">
        <f t="shared" si="28"/>
        <v>14</v>
      </c>
      <c r="GS125">
        <f t="shared" si="28"/>
        <v>0</v>
      </c>
      <c r="GT125">
        <f t="shared" si="28"/>
        <v>0</v>
      </c>
      <c r="GU125">
        <f t="shared" si="28"/>
        <v>14</v>
      </c>
      <c r="GV125">
        <f t="shared" si="28"/>
        <v>14</v>
      </c>
      <c r="GW125">
        <f t="shared" si="28"/>
        <v>14</v>
      </c>
      <c r="GX125">
        <f t="shared" si="28"/>
        <v>14</v>
      </c>
      <c r="GY125">
        <f t="shared" si="28"/>
        <v>14</v>
      </c>
      <c r="GZ125">
        <f t="shared" si="28"/>
        <v>0</v>
      </c>
      <c r="HA125">
        <f t="shared" si="28"/>
        <v>0</v>
      </c>
      <c r="HB125">
        <f t="shared" si="28"/>
        <v>14</v>
      </c>
      <c r="HC125">
        <f t="shared" si="28"/>
        <v>14</v>
      </c>
      <c r="HD125">
        <f t="shared" si="28"/>
        <v>14</v>
      </c>
      <c r="HE125">
        <f t="shared" si="28"/>
        <v>14</v>
      </c>
      <c r="HF125">
        <f t="shared" si="28"/>
        <v>14</v>
      </c>
      <c r="HG125">
        <f t="shared" si="28"/>
        <v>0</v>
      </c>
      <c r="HH125">
        <f t="shared" si="28"/>
        <v>0</v>
      </c>
      <c r="HI125">
        <f t="shared" si="28"/>
        <v>14</v>
      </c>
      <c r="HJ125">
        <f t="shared" si="28"/>
        <v>14</v>
      </c>
      <c r="HK125">
        <f t="shared" si="28"/>
        <v>14</v>
      </c>
      <c r="HL125">
        <f t="shared" si="28"/>
        <v>14</v>
      </c>
      <c r="HM125">
        <f t="shared" si="28"/>
        <v>14</v>
      </c>
      <c r="HN125">
        <f t="shared" si="28"/>
        <v>0</v>
      </c>
      <c r="HO125">
        <f t="shared" si="28"/>
        <v>0</v>
      </c>
      <c r="HP125">
        <f t="shared" si="28"/>
        <v>13</v>
      </c>
      <c r="HQ125">
        <f t="shared" si="28"/>
        <v>13</v>
      </c>
      <c r="HR125">
        <f t="shared" si="28"/>
        <v>13</v>
      </c>
      <c r="HS125">
        <f t="shared" si="28"/>
        <v>13</v>
      </c>
      <c r="HT125">
        <f t="shared" si="28"/>
        <v>13</v>
      </c>
      <c r="HU125">
        <f t="shared" si="28"/>
        <v>0</v>
      </c>
      <c r="HV125">
        <f t="shared" si="28"/>
        <v>0</v>
      </c>
      <c r="HW125">
        <f t="shared" si="28"/>
        <v>13</v>
      </c>
      <c r="HX125">
        <f t="shared" si="28"/>
        <v>13</v>
      </c>
      <c r="HY125">
        <f t="shared" si="28"/>
        <v>13</v>
      </c>
      <c r="HZ125">
        <f t="shared" si="28"/>
        <v>13</v>
      </c>
      <c r="IA125">
        <f t="shared" si="28"/>
        <v>13</v>
      </c>
      <c r="IB125">
        <f t="shared" si="28"/>
        <v>0</v>
      </c>
      <c r="IC125">
        <f t="shared" si="28"/>
        <v>0</v>
      </c>
      <c r="ID125">
        <f t="shared" si="28"/>
        <v>14</v>
      </c>
      <c r="IE125">
        <f t="shared" si="28"/>
        <v>14</v>
      </c>
      <c r="IF125">
        <f t="shared" si="28"/>
        <v>14</v>
      </c>
      <c r="IG125">
        <f t="shared" si="28"/>
        <v>14</v>
      </c>
      <c r="IH125">
        <f t="shared" si="28"/>
        <v>14</v>
      </c>
      <c r="II125">
        <f t="shared" si="28"/>
        <v>0</v>
      </c>
      <c r="IJ125">
        <f t="shared" si="28"/>
        <v>0</v>
      </c>
      <c r="IK125">
        <f t="shared" si="28"/>
        <v>14</v>
      </c>
      <c r="IL125">
        <f t="shared" si="28"/>
        <v>14</v>
      </c>
      <c r="IM125">
        <f t="shared" si="28"/>
        <v>14</v>
      </c>
      <c r="IN125">
        <f t="shared" si="28"/>
        <v>14</v>
      </c>
      <c r="IO125">
        <f t="shared" si="28"/>
        <v>14</v>
      </c>
      <c r="IP125">
        <f t="shared" si="28"/>
        <v>0</v>
      </c>
      <c r="IQ125">
        <f t="shared" si="28"/>
        <v>0</v>
      </c>
      <c r="IR125">
        <f t="shared" si="28"/>
        <v>14</v>
      </c>
      <c r="IS125">
        <f t="shared" si="28"/>
        <v>14</v>
      </c>
      <c r="IT125">
        <f t="shared" si="28"/>
        <v>14</v>
      </c>
      <c r="IU125">
        <f t="shared" si="28"/>
        <v>14</v>
      </c>
      <c r="IV125">
        <f t="shared" si="28"/>
        <v>14</v>
      </c>
      <c r="IW125">
        <f t="shared" si="28"/>
        <v>0</v>
      </c>
      <c r="IX125">
        <f t="shared" si="28"/>
        <v>0</v>
      </c>
      <c r="IY125">
        <f t="shared" si="28"/>
        <v>14</v>
      </c>
      <c r="IZ125">
        <f t="shared" ref="IZ125:LK125" si="29">COUNTIF(JA4:JA126, "Clinic")</f>
        <v>14</v>
      </c>
      <c r="JA125">
        <f t="shared" si="29"/>
        <v>14</v>
      </c>
      <c r="JB125">
        <f t="shared" si="29"/>
        <v>14</v>
      </c>
      <c r="JC125">
        <f t="shared" si="29"/>
        <v>14</v>
      </c>
      <c r="JD125">
        <f t="shared" si="29"/>
        <v>0</v>
      </c>
      <c r="JE125">
        <f t="shared" si="29"/>
        <v>0</v>
      </c>
      <c r="JF125">
        <f t="shared" si="29"/>
        <v>13</v>
      </c>
      <c r="JG125">
        <f t="shared" si="29"/>
        <v>13</v>
      </c>
      <c r="JH125">
        <f t="shared" si="29"/>
        <v>13</v>
      </c>
      <c r="JI125">
        <f t="shared" si="29"/>
        <v>13</v>
      </c>
      <c r="JJ125">
        <f t="shared" si="29"/>
        <v>13</v>
      </c>
      <c r="JK125">
        <f t="shared" si="29"/>
        <v>0</v>
      </c>
      <c r="JL125">
        <f t="shared" si="29"/>
        <v>0</v>
      </c>
      <c r="JM125">
        <f t="shared" si="29"/>
        <v>13</v>
      </c>
      <c r="JN125">
        <f t="shared" si="29"/>
        <v>13</v>
      </c>
      <c r="JO125">
        <f t="shared" si="29"/>
        <v>13</v>
      </c>
      <c r="JP125">
        <f t="shared" si="29"/>
        <v>13</v>
      </c>
      <c r="JQ125">
        <f t="shared" si="29"/>
        <v>13</v>
      </c>
      <c r="JR125">
        <f t="shared" si="29"/>
        <v>0</v>
      </c>
      <c r="JS125">
        <f t="shared" si="29"/>
        <v>0</v>
      </c>
      <c r="JT125">
        <f t="shared" si="29"/>
        <v>14</v>
      </c>
      <c r="JU125">
        <f t="shared" si="29"/>
        <v>14</v>
      </c>
      <c r="JV125">
        <f t="shared" si="29"/>
        <v>14</v>
      </c>
      <c r="JW125">
        <f t="shared" si="29"/>
        <v>14</v>
      </c>
      <c r="JX125">
        <f t="shared" si="29"/>
        <v>14</v>
      </c>
      <c r="JY125">
        <f t="shared" si="29"/>
        <v>0</v>
      </c>
      <c r="JZ125">
        <f t="shared" si="29"/>
        <v>0</v>
      </c>
      <c r="KA125">
        <f t="shared" si="29"/>
        <v>14</v>
      </c>
      <c r="KB125">
        <f t="shared" si="29"/>
        <v>14</v>
      </c>
      <c r="KC125">
        <f t="shared" si="29"/>
        <v>14</v>
      </c>
      <c r="KD125">
        <f t="shared" si="29"/>
        <v>14</v>
      </c>
      <c r="KE125">
        <f t="shared" si="29"/>
        <v>14</v>
      </c>
      <c r="KF125">
        <f t="shared" si="29"/>
        <v>0</v>
      </c>
      <c r="KG125">
        <f t="shared" si="29"/>
        <v>0</v>
      </c>
      <c r="KH125">
        <f t="shared" si="29"/>
        <v>14</v>
      </c>
      <c r="KI125">
        <f t="shared" si="29"/>
        <v>14</v>
      </c>
      <c r="KJ125">
        <f t="shared" si="29"/>
        <v>14</v>
      </c>
      <c r="KK125">
        <f t="shared" si="29"/>
        <v>14</v>
      </c>
      <c r="KL125">
        <f t="shared" si="29"/>
        <v>14</v>
      </c>
      <c r="KM125">
        <f t="shared" si="29"/>
        <v>0</v>
      </c>
      <c r="KN125">
        <f t="shared" si="29"/>
        <v>0</v>
      </c>
      <c r="KO125">
        <f t="shared" si="29"/>
        <v>14</v>
      </c>
      <c r="KP125">
        <f t="shared" si="29"/>
        <v>14</v>
      </c>
      <c r="KQ125">
        <f t="shared" si="29"/>
        <v>14</v>
      </c>
      <c r="KR125">
        <f t="shared" si="29"/>
        <v>14</v>
      </c>
      <c r="KS125">
        <f t="shared" si="29"/>
        <v>14</v>
      </c>
      <c r="KT125">
        <f t="shared" si="29"/>
        <v>0</v>
      </c>
      <c r="KU125">
        <f t="shared" si="29"/>
        <v>0</v>
      </c>
      <c r="KV125">
        <f t="shared" si="29"/>
        <v>13</v>
      </c>
      <c r="KW125">
        <f t="shared" si="29"/>
        <v>13</v>
      </c>
      <c r="KX125">
        <f t="shared" si="29"/>
        <v>13</v>
      </c>
      <c r="KY125">
        <f t="shared" si="29"/>
        <v>13</v>
      </c>
      <c r="KZ125">
        <f t="shared" si="29"/>
        <v>13</v>
      </c>
      <c r="LA125">
        <f t="shared" si="29"/>
        <v>0</v>
      </c>
      <c r="LB125">
        <f t="shared" si="29"/>
        <v>0</v>
      </c>
      <c r="LC125">
        <f t="shared" si="29"/>
        <v>13</v>
      </c>
      <c r="LD125">
        <f t="shared" si="29"/>
        <v>13</v>
      </c>
      <c r="LE125">
        <f t="shared" si="29"/>
        <v>13</v>
      </c>
      <c r="LF125">
        <f t="shared" si="29"/>
        <v>13</v>
      </c>
      <c r="LG125">
        <f t="shared" si="29"/>
        <v>13</v>
      </c>
      <c r="LH125">
        <f t="shared" si="29"/>
        <v>0</v>
      </c>
      <c r="LI125">
        <f t="shared" si="29"/>
        <v>0</v>
      </c>
      <c r="LJ125">
        <f t="shared" si="29"/>
        <v>14</v>
      </c>
      <c r="LK125">
        <f t="shared" si="29"/>
        <v>14</v>
      </c>
      <c r="LL125">
        <f t="shared" ref="LL125:NC125" si="30">COUNTIF(LM4:LM126, "Clinic")</f>
        <v>14</v>
      </c>
      <c r="LM125">
        <f t="shared" si="30"/>
        <v>14</v>
      </c>
      <c r="LN125">
        <f t="shared" si="30"/>
        <v>14</v>
      </c>
      <c r="LO125">
        <f t="shared" si="30"/>
        <v>0</v>
      </c>
      <c r="LP125">
        <f t="shared" si="30"/>
        <v>0</v>
      </c>
      <c r="LQ125">
        <f t="shared" si="30"/>
        <v>14</v>
      </c>
      <c r="LR125">
        <f t="shared" si="30"/>
        <v>14</v>
      </c>
      <c r="LS125">
        <f t="shared" si="30"/>
        <v>14</v>
      </c>
      <c r="LT125">
        <f t="shared" si="30"/>
        <v>14</v>
      </c>
      <c r="LU125">
        <f t="shared" si="30"/>
        <v>14</v>
      </c>
      <c r="LV125">
        <f t="shared" si="30"/>
        <v>0</v>
      </c>
      <c r="LW125">
        <f t="shared" si="30"/>
        <v>0</v>
      </c>
      <c r="LX125">
        <f t="shared" si="30"/>
        <v>14</v>
      </c>
      <c r="LY125">
        <f t="shared" si="30"/>
        <v>14</v>
      </c>
      <c r="LZ125">
        <f t="shared" si="30"/>
        <v>14</v>
      </c>
      <c r="MA125">
        <f t="shared" si="30"/>
        <v>14</v>
      </c>
      <c r="MB125">
        <f t="shared" si="30"/>
        <v>14</v>
      </c>
      <c r="MC125">
        <f t="shared" si="30"/>
        <v>0</v>
      </c>
      <c r="MD125">
        <f t="shared" si="30"/>
        <v>0</v>
      </c>
      <c r="ME125">
        <f t="shared" si="30"/>
        <v>14</v>
      </c>
      <c r="MF125">
        <f t="shared" si="30"/>
        <v>14</v>
      </c>
      <c r="MG125">
        <f t="shared" si="30"/>
        <v>14</v>
      </c>
      <c r="MH125">
        <f t="shared" si="30"/>
        <v>14</v>
      </c>
      <c r="MI125">
        <f t="shared" si="30"/>
        <v>14</v>
      </c>
      <c r="MJ125">
        <f t="shared" si="30"/>
        <v>0</v>
      </c>
      <c r="MK125">
        <f t="shared" si="30"/>
        <v>0</v>
      </c>
      <c r="ML125">
        <f t="shared" si="30"/>
        <v>13</v>
      </c>
      <c r="MM125">
        <f t="shared" si="30"/>
        <v>13</v>
      </c>
      <c r="MN125">
        <f t="shared" si="30"/>
        <v>13</v>
      </c>
      <c r="MO125">
        <f t="shared" si="30"/>
        <v>13</v>
      </c>
      <c r="MP125">
        <f t="shared" si="30"/>
        <v>13</v>
      </c>
      <c r="MQ125">
        <f t="shared" si="30"/>
        <v>0</v>
      </c>
      <c r="MR125">
        <f t="shared" si="30"/>
        <v>0</v>
      </c>
      <c r="MS125">
        <f t="shared" si="30"/>
        <v>13</v>
      </c>
      <c r="MT125">
        <f t="shared" si="30"/>
        <v>13</v>
      </c>
      <c r="MU125">
        <f t="shared" si="30"/>
        <v>13</v>
      </c>
      <c r="MV125">
        <f t="shared" si="30"/>
        <v>13</v>
      </c>
      <c r="MW125">
        <f t="shared" si="30"/>
        <v>13</v>
      </c>
      <c r="MX125">
        <f t="shared" si="30"/>
        <v>0</v>
      </c>
      <c r="MY125">
        <f t="shared" si="30"/>
        <v>0</v>
      </c>
      <c r="MZ125">
        <f t="shared" si="30"/>
        <v>0</v>
      </c>
      <c r="NA125">
        <f t="shared" si="30"/>
        <v>0</v>
      </c>
      <c r="NB125">
        <f t="shared" si="30"/>
        <v>0</v>
      </c>
      <c r="NC125">
        <f t="shared" si="30"/>
        <v>0</v>
      </c>
    </row>
    <row r="127" spans="1:367">
      <c r="A127" t="s">
        <v>123</v>
      </c>
      <c r="C127">
        <f>COUNTIF(C4:C30, "")</f>
        <v>27</v>
      </c>
      <c r="D127">
        <f>COUNTIF(D4:D30, "")</f>
        <v>27</v>
      </c>
      <c r="E127">
        <f t="shared" ref="E127:BP127" si="31">COUNTIF(E4:E30, "")</f>
        <v>27</v>
      </c>
      <c r="F127">
        <f t="shared" si="31"/>
        <v>27</v>
      </c>
      <c r="G127">
        <f t="shared" si="31"/>
        <v>27</v>
      </c>
      <c r="H127">
        <f t="shared" si="31"/>
        <v>22</v>
      </c>
      <c r="I127">
        <f t="shared" si="31"/>
        <v>22</v>
      </c>
      <c r="J127">
        <f t="shared" si="31"/>
        <v>22</v>
      </c>
      <c r="K127">
        <f t="shared" si="31"/>
        <v>22</v>
      </c>
      <c r="L127">
        <f t="shared" si="31"/>
        <v>22</v>
      </c>
      <c r="M127">
        <f t="shared" si="31"/>
        <v>27</v>
      </c>
      <c r="N127">
        <f t="shared" si="31"/>
        <v>27</v>
      </c>
      <c r="O127">
        <f t="shared" si="31"/>
        <v>22</v>
      </c>
      <c r="P127">
        <f t="shared" si="31"/>
        <v>22</v>
      </c>
      <c r="Q127">
        <f t="shared" si="31"/>
        <v>22</v>
      </c>
      <c r="R127">
        <f t="shared" si="31"/>
        <v>22</v>
      </c>
      <c r="S127">
        <f t="shared" si="31"/>
        <v>22</v>
      </c>
      <c r="T127">
        <f t="shared" si="31"/>
        <v>27</v>
      </c>
      <c r="U127">
        <f t="shared" si="31"/>
        <v>27</v>
      </c>
      <c r="V127">
        <f t="shared" si="31"/>
        <v>22</v>
      </c>
      <c r="W127">
        <f t="shared" si="31"/>
        <v>22</v>
      </c>
      <c r="X127">
        <f t="shared" si="31"/>
        <v>22</v>
      </c>
      <c r="Y127">
        <f t="shared" si="31"/>
        <v>22</v>
      </c>
      <c r="Z127">
        <f t="shared" si="31"/>
        <v>22</v>
      </c>
      <c r="AA127">
        <f t="shared" si="31"/>
        <v>27</v>
      </c>
      <c r="AB127">
        <f t="shared" si="31"/>
        <v>27</v>
      </c>
      <c r="AC127">
        <f t="shared" si="31"/>
        <v>23</v>
      </c>
      <c r="AD127">
        <f t="shared" si="31"/>
        <v>23</v>
      </c>
      <c r="AE127">
        <f t="shared" si="31"/>
        <v>23</v>
      </c>
      <c r="AF127">
        <f t="shared" si="31"/>
        <v>23</v>
      </c>
      <c r="AG127">
        <f t="shared" si="31"/>
        <v>23</v>
      </c>
      <c r="AH127">
        <f t="shared" si="31"/>
        <v>27</v>
      </c>
      <c r="AI127">
        <f t="shared" si="31"/>
        <v>27</v>
      </c>
      <c r="AJ127">
        <f t="shared" si="31"/>
        <v>23</v>
      </c>
      <c r="AK127">
        <f t="shared" si="31"/>
        <v>23</v>
      </c>
      <c r="AL127">
        <f t="shared" si="31"/>
        <v>23</v>
      </c>
      <c r="AM127">
        <f t="shared" si="31"/>
        <v>23</v>
      </c>
      <c r="AN127">
        <f t="shared" si="31"/>
        <v>23</v>
      </c>
      <c r="AO127">
        <f t="shared" si="31"/>
        <v>27</v>
      </c>
      <c r="AP127">
        <f t="shared" si="31"/>
        <v>27</v>
      </c>
      <c r="AQ127">
        <f t="shared" si="31"/>
        <v>23</v>
      </c>
      <c r="AR127">
        <f t="shared" si="31"/>
        <v>23</v>
      </c>
      <c r="AS127">
        <f t="shared" si="31"/>
        <v>23</v>
      </c>
      <c r="AT127">
        <f t="shared" si="31"/>
        <v>23</v>
      </c>
      <c r="AU127">
        <f t="shared" si="31"/>
        <v>23</v>
      </c>
      <c r="AV127">
        <f t="shared" si="31"/>
        <v>27</v>
      </c>
      <c r="AW127">
        <f t="shared" si="31"/>
        <v>27</v>
      </c>
      <c r="AX127">
        <f t="shared" si="31"/>
        <v>22</v>
      </c>
      <c r="AY127">
        <f t="shared" si="31"/>
        <v>22</v>
      </c>
      <c r="AZ127">
        <f t="shared" si="31"/>
        <v>22</v>
      </c>
      <c r="BA127">
        <f t="shared" si="31"/>
        <v>22</v>
      </c>
      <c r="BB127">
        <f t="shared" si="31"/>
        <v>22</v>
      </c>
      <c r="BC127">
        <f t="shared" si="31"/>
        <v>27</v>
      </c>
      <c r="BD127">
        <f t="shared" si="31"/>
        <v>27</v>
      </c>
      <c r="BE127">
        <f t="shared" si="31"/>
        <v>22</v>
      </c>
      <c r="BF127">
        <f t="shared" si="31"/>
        <v>22</v>
      </c>
      <c r="BG127">
        <f t="shared" si="31"/>
        <v>22</v>
      </c>
      <c r="BH127">
        <f t="shared" si="31"/>
        <v>22</v>
      </c>
      <c r="BI127">
        <f t="shared" si="31"/>
        <v>22</v>
      </c>
      <c r="BJ127">
        <f t="shared" si="31"/>
        <v>27</v>
      </c>
      <c r="BK127">
        <f t="shared" si="31"/>
        <v>27</v>
      </c>
      <c r="BL127">
        <f t="shared" si="31"/>
        <v>22</v>
      </c>
      <c r="BM127">
        <f t="shared" si="31"/>
        <v>22</v>
      </c>
      <c r="BN127">
        <f t="shared" si="31"/>
        <v>22</v>
      </c>
      <c r="BO127">
        <f t="shared" si="31"/>
        <v>22</v>
      </c>
      <c r="BP127">
        <f t="shared" si="31"/>
        <v>22</v>
      </c>
      <c r="BQ127">
        <f t="shared" ref="BQ127:EB127" si="32">COUNTIF(BQ4:BQ30, "")</f>
        <v>27</v>
      </c>
      <c r="BR127">
        <f t="shared" si="32"/>
        <v>27</v>
      </c>
      <c r="BS127">
        <f t="shared" si="32"/>
        <v>23</v>
      </c>
      <c r="BT127">
        <f t="shared" si="32"/>
        <v>23</v>
      </c>
      <c r="BU127">
        <f t="shared" si="32"/>
        <v>23</v>
      </c>
      <c r="BV127">
        <f t="shared" si="32"/>
        <v>23</v>
      </c>
      <c r="BW127">
        <f t="shared" si="32"/>
        <v>23</v>
      </c>
      <c r="BX127">
        <f t="shared" si="32"/>
        <v>27</v>
      </c>
      <c r="BY127">
        <f t="shared" si="32"/>
        <v>27</v>
      </c>
      <c r="BZ127">
        <f t="shared" si="32"/>
        <v>23</v>
      </c>
      <c r="CA127">
        <f t="shared" si="32"/>
        <v>23</v>
      </c>
      <c r="CB127">
        <f t="shared" si="32"/>
        <v>23</v>
      </c>
      <c r="CC127">
        <f t="shared" si="32"/>
        <v>23</v>
      </c>
      <c r="CD127">
        <f t="shared" si="32"/>
        <v>23</v>
      </c>
      <c r="CE127">
        <f t="shared" si="32"/>
        <v>27</v>
      </c>
      <c r="CF127">
        <f t="shared" si="32"/>
        <v>27</v>
      </c>
      <c r="CG127">
        <f t="shared" si="32"/>
        <v>23</v>
      </c>
      <c r="CH127">
        <f t="shared" si="32"/>
        <v>23</v>
      </c>
      <c r="CI127">
        <f t="shared" si="32"/>
        <v>23</v>
      </c>
      <c r="CJ127">
        <f t="shared" si="32"/>
        <v>23</v>
      </c>
      <c r="CK127">
        <f t="shared" si="32"/>
        <v>23</v>
      </c>
      <c r="CL127">
        <f t="shared" si="32"/>
        <v>27</v>
      </c>
      <c r="CM127">
        <f t="shared" si="32"/>
        <v>27</v>
      </c>
      <c r="CN127">
        <f t="shared" si="32"/>
        <v>22</v>
      </c>
      <c r="CO127">
        <f t="shared" si="32"/>
        <v>22</v>
      </c>
      <c r="CP127">
        <f t="shared" si="32"/>
        <v>22</v>
      </c>
      <c r="CQ127">
        <f t="shared" si="32"/>
        <v>22</v>
      </c>
      <c r="CR127">
        <f t="shared" si="32"/>
        <v>22</v>
      </c>
      <c r="CS127">
        <f t="shared" si="32"/>
        <v>27</v>
      </c>
      <c r="CT127">
        <f t="shared" si="32"/>
        <v>27</v>
      </c>
      <c r="CU127">
        <f t="shared" si="32"/>
        <v>22</v>
      </c>
      <c r="CV127">
        <f t="shared" si="32"/>
        <v>22</v>
      </c>
      <c r="CW127">
        <f t="shared" si="32"/>
        <v>22</v>
      </c>
      <c r="CX127">
        <f t="shared" si="32"/>
        <v>22</v>
      </c>
      <c r="CY127">
        <f t="shared" si="32"/>
        <v>22</v>
      </c>
      <c r="CZ127">
        <f t="shared" si="32"/>
        <v>27</v>
      </c>
      <c r="DA127">
        <f t="shared" si="32"/>
        <v>27</v>
      </c>
      <c r="DB127">
        <f t="shared" si="32"/>
        <v>22</v>
      </c>
      <c r="DC127">
        <f t="shared" si="32"/>
        <v>22</v>
      </c>
      <c r="DD127">
        <f t="shared" si="32"/>
        <v>22</v>
      </c>
      <c r="DE127">
        <f t="shared" si="32"/>
        <v>22</v>
      </c>
      <c r="DF127">
        <f t="shared" si="32"/>
        <v>22</v>
      </c>
      <c r="DG127">
        <f t="shared" si="32"/>
        <v>27</v>
      </c>
      <c r="DH127">
        <f t="shared" si="32"/>
        <v>27</v>
      </c>
      <c r="DI127">
        <f t="shared" si="32"/>
        <v>23</v>
      </c>
      <c r="DJ127">
        <f t="shared" si="32"/>
        <v>23</v>
      </c>
      <c r="DK127">
        <f t="shared" si="32"/>
        <v>23</v>
      </c>
      <c r="DL127">
        <f t="shared" si="32"/>
        <v>23</v>
      </c>
      <c r="DM127">
        <f t="shared" si="32"/>
        <v>23</v>
      </c>
      <c r="DN127">
        <f t="shared" si="32"/>
        <v>27</v>
      </c>
      <c r="DO127">
        <f t="shared" si="32"/>
        <v>27</v>
      </c>
      <c r="DP127">
        <f t="shared" si="32"/>
        <v>23</v>
      </c>
      <c r="DQ127">
        <f t="shared" si="32"/>
        <v>23</v>
      </c>
      <c r="DR127">
        <f t="shared" si="32"/>
        <v>23</v>
      </c>
      <c r="DS127">
        <f t="shared" si="32"/>
        <v>23</v>
      </c>
      <c r="DT127">
        <f t="shared" si="32"/>
        <v>23</v>
      </c>
      <c r="DU127">
        <f t="shared" si="32"/>
        <v>27</v>
      </c>
      <c r="DV127">
        <f t="shared" si="32"/>
        <v>27</v>
      </c>
      <c r="DW127">
        <f t="shared" si="32"/>
        <v>23</v>
      </c>
      <c r="DX127">
        <f t="shared" si="32"/>
        <v>23</v>
      </c>
      <c r="DY127">
        <f t="shared" si="32"/>
        <v>23</v>
      </c>
      <c r="DZ127">
        <f t="shared" si="32"/>
        <v>23</v>
      </c>
      <c r="EA127">
        <f t="shared" si="32"/>
        <v>23</v>
      </c>
      <c r="EB127">
        <f t="shared" si="32"/>
        <v>27</v>
      </c>
      <c r="EC127">
        <f t="shared" ref="EC127:GN127" si="33">COUNTIF(EC4:EC30, "")</f>
        <v>27</v>
      </c>
      <c r="ED127">
        <f t="shared" si="33"/>
        <v>22</v>
      </c>
      <c r="EE127">
        <f t="shared" si="33"/>
        <v>22</v>
      </c>
      <c r="EF127">
        <f t="shared" si="33"/>
        <v>22</v>
      </c>
      <c r="EG127">
        <f t="shared" si="33"/>
        <v>22</v>
      </c>
      <c r="EH127">
        <f t="shared" si="33"/>
        <v>22</v>
      </c>
      <c r="EI127">
        <f t="shared" si="33"/>
        <v>27</v>
      </c>
      <c r="EJ127">
        <f t="shared" si="33"/>
        <v>27</v>
      </c>
      <c r="EK127">
        <f t="shared" si="33"/>
        <v>22</v>
      </c>
      <c r="EL127">
        <f t="shared" si="33"/>
        <v>22</v>
      </c>
      <c r="EM127">
        <f t="shared" si="33"/>
        <v>22</v>
      </c>
      <c r="EN127">
        <f t="shared" si="33"/>
        <v>22</v>
      </c>
      <c r="EO127">
        <f t="shared" si="33"/>
        <v>22</v>
      </c>
      <c r="EP127">
        <f t="shared" si="33"/>
        <v>27</v>
      </c>
      <c r="EQ127">
        <f t="shared" si="33"/>
        <v>27</v>
      </c>
      <c r="ER127">
        <f t="shared" si="33"/>
        <v>27</v>
      </c>
      <c r="ES127">
        <f t="shared" si="33"/>
        <v>27</v>
      </c>
      <c r="ET127">
        <f t="shared" si="33"/>
        <v>27</v>
      </c>
      <c r="EU127">
        <f t="shared" si="33"/>
        <v>27</v>
      </c>
      <c r="EV127">
        <f t="shared" si="33"/>
        <v>27</v>
      </c>
      <c r="EW127">
        <f t="shared" si="33"/>
        <v>27</v>
      </c>
      <c r="EX127">
        <f t="shared" si="33"/>
        <v>27</v>
      </c>
      <c r="EY127">
        <f t="shared" si="33"/>
        <v>22</v>
      </c>
      <c r="EZ127">
        <f t="shared" si="33"/>
        <v>22</v>
      </c>
      <c r="FA127">
        <f t="shared" si="33"/>
        <v>22</v>
      </c>
      <c r="FB127">
        <f t="shared" si="33"/>
        <v>22</v>
      </c>
      <c r="FC127">
        <f t="shared" si="33"/>
        <v>22</v>
      </c>
      <c r="FD127">
        <f t="shared" si="33"/>
        <v>27</v>
      </c>
      <c r="FE127">
        <f t="shared" si="33"/>
        <v>27</v>
      </c>
      <c r="FF127">
        <f t="shared" si="33"/>
        <v>23</v>
      </c>
      <c r="FG127">
        <f t="shared" si="33"/>
        <v>23</v>
      </c>
      <c r="FH127">
        <f t="shared" si="33"/>
        <v>23</v>
      </c>
      <c r="FI127">
        <f t="shared" si="33"/>
        <v>23</v>
      </c>
      <c r="FJ127">
        <f t="shared" si="33"/>
        <v>23</v>
      </c>
      <c r="FK127">
        <f t="shared" si="33"/>
        <v>27</v>
      </c>
      <c r="FL127">
        <f t="shared" si="33"/>
        <v>27</v>
      </c>
      <c r="FM127">
        <f t="shared" si="33"/>
        <v>23</v>
      </c>
      <c r="FN127">
        <f t="shared" si="33"/>
        <v>23</v>
      </c>
      <c r="FO127">
        <f t="shared" si="33"/>
        <v>23</v>
      </c>
      <c r="FP127">
        <f t="shared" si="33"/>
        <v>23</v>
      </c>
      <c r="FQ127">
        <f t="shared" si="33"/>
        <v>23</v>
      </c>
      <c r="FR127">
        <f t="shared" si="33"/>
        <v>27</v>
      </c>
      <c r="FS127">
        <f t="shared" si="33"/>
        <v>27</v>
      </c>
      <c r="FT127">
        <f t="shared" si="33"/>
        <v>27</v>
      </c>
      <c r="FU127">
        <f t="shared" si="33"/>
        <v>27</v>
      </c>
      <c r="FV127">
        <f t="shared" si="33"/>
        <v>27</v>
      </c>
      <c r="FW127">
        <f t="shared" si="33"/>
        <v>27</v>
      </c>
      <c r="FX127">
        <f t="shared" si="33"/>
        <v>27</v>
      </c>
      <c r="FY127">
        <f t="shared" si="33"/>
        <v>27</v>
      </c>
      <c r="FZ127">
        <f t="shared" si="33"/>
        <v>27</v>
      </c>
      <c r="GA127">
        <f t="shared" si="33"/>
        <v>27</v>
      </c>
      <c r="GB127">
        <f t="shared" si="33"/>
        <v>27</v>
      </c>
      <c r="GC127">
        <f t="shared" si="33"/>
        <v>27</v>
      </c>
      <c r="GD127">
        <f t="shared" si="33"/>
        <v>27</v>
      </c>
      <c r="GE127">
        <f t="shared" si="33"/>
        <v>27</v>
      </c>
      <c r="GF127">
        <f t="shared" si="33"/>
        <v>27</v>
      </c>
      <c r="GG127">
        <f t="shared" si="33"/>
        <v>27</v>
      </c>
      <c r="GH127">
        <f t="shared" si="33"/>
        <v>23</v>
      </c>
      <c r="GI127">
        <f t="shared" si="33"/>
        <v>23</v>
      </c>
      <c r="GJ127">
        <f t="shared" si="33"/>
        <v>23</v>
      </c>
      <c r="GK127">
        <f t="shared" si="33"/>
        <v>23</v>
      </c>
      <c r="GL127">
        <f t="shared" si="33"/>
        <v>23</v>
      </c>
      <c r="GM127">
        <f t="shared" si="33"/>
        <v>27</v>
      </c>
      <c r="GN127">
        <f t="shared" si="33"/>
        <v>27</v>
      </c>
      <c r="GO127">
        <f t="shared" ref="GO127:IZ127" si="34">COUNTIF(GO4:GO30, "")</f>
        <v>22</v>
      </c>
      <c r="GP127">
        <f t="shared" si="34"/>
        <v>22</v>
      </c>
      <c r="GQ127">
        <f t="shared" si="34"/>
        <v>22</v>
      </c>
      <c r="GR127">
        <f t="shared" si="34"/>
        <v>22</v>
      </c>
      <c r="GS127">
        <f t="shared" si="34"/>
        <v>22</v>
      </c>
      <c r="GT127">
        <f t="shared" si="34"/>
        <v>27</v>
      </c>
      <c r="GU127">
        <f t="shared" si="34"/>
        <v>27</v>
      </c>
      <c r="GV127">
        <f t="shared" si="34"/>
        <v>22</v>
      </c>
      <c r="GW127">
        <f t="shared" si="34"/>
        <v>22</v>
      </c>
      <c r="GX127">
        <f t="shared" si="34"/>
        <v>22</v>
      </c>
      <c r="GY127">
        <f t="shared" si="34"/>
        <v>22</v>
      </c>
      <c r="GZ127">
        <f t="shared" si="34"/>
        <v>22</v>
      </c>
      <c r="HA127">
        <f t="shared" si="34"/>
        <v>27</v>
      </c>
      <c r="HB127">
        <f t="shared" si="34"/>
        <v>27</v>
      </c>
      <c r="HC127">
        <f t="shared" si="34"/>
        <v>22</v>
      </c>
      <c r="HD127">
        <f t="shared" si="34"/>
        <v>22</v>
      </c>
      <c r="HE127">
        <f t="shared" si="34"/>
        <v>22</v>
      </c>
      <c r="HF127">
        <f t="shared" si="34"/>
        <v>22</v>
      </c>
      <c r="HG127">
        <f t="shared" si="34"/>
        <v>22</v>
      </c>
      <c r="HH127">
        <f t="shared" si="34"/>
        <v>27</v>
      </c>
      <c r="HI127">
        <f t="shared" si="34"/>
        <v>27</v>
      </c>
      <c r="HJ127">
        <f t="shared" si="34"/>
        <v>23</v>
      </c>
      <c r="HK127">
        <f t="shared" si="34"/>
        <v>23</v>
      </c>
      <c r="HL127">
        <f t="shared" si="34"/>
        <v>23</v>
      </c>
      <c r="HM127">
        <f t="shared" si="34"/>
        <v>23</v>
      </c>
      <c r="HN127">
        <f t="shared" si="34"/>
        <v>23</v>
      </c>
      <c r="HO127">
        <f t="shared" si="34"/>
        <v>27</v>
      </c>
      <c r="HP127">
        <f t="shared" si="34"/>
        <v>27</v>
      </c>
      <c r="HQ127">
        <f t="shared" si="34"/>
        <v>23</v>
      </c>
      <c r="HR127">
        <f t="shared" si="34"/>
        <v>23</v>
      </c>
      <c r="HS127">
        <f t="shared" si="34"/>
        <v>23</v>
      </c>
      <c r="HT127">
        <f t="shared" si="34"/>
        <v>23</v>
      </c>
      <c r="HU127">
        <f t="shared" si="34"/>
        <v>23</v>
      </c>
      <c r="HV127">
        <f t="shared" si="34"/>
        <v>27</v>
      </c>
      <c r="HW127">
        <f t="shared" si="34"/>
        <v>27</v>
      </c>
      <c r="HX127">
        <f t="shared" si="34"/>
        <v>23</v>
      </c>
      <c r="HY127">
        <f t="shared" si="34"/>
        <v>23</v>
      </c>
      <c r="HZ127">
        <f t="shared" si="34"/>
        <v>23</v>
      </c>
      <c r="IA127">
        <f t="shared" si="34"/>
        <v>23</v>
      </c>
      <c r="IB127">
        <f t="shared" si="34"/>
        <v>23</v>
      </c>
      <c r="IC127">
        <f t="shared" si="34"/>
        <v>27</v>
      </c>
      <c r="ID127">
        <f t="shared" si="34"/>
        <v>27</v>
      </c>
      <c r="IE127">
        <f t="shared" si="34"/>
        <v>22</v>
      </c>
      <c r="IF127">
        <f t="shared" si="34"/>
        <v>22</v>
      </c>
      <c r="IG127">
        <f t="shared" si="34"/>
        <v>22</v>
      </c>
      <c r="IH127">
        <f t="shared" si="34"/>
        <v>22</v>
      </c>
      <c r="II127">
        <f t="shared" si="34"/>
        <v>22</v>
      </c>
      <c r="IJ127">
        <f t="shared" si="34"/>
        <v>27</v>
      </c>
      <c r="IK127">
        <f t="shared" si="34"/>
        <v>27</v>
      </c>
      <c r="IL127">
        <f t="shared" si="34"/>
        <v>22</v>
      </c>
      <c r="IM127">
        <f t="shared" si="34"/>
        <v>22</v>
      </c>
      <c r="IN127">
        <f t="shared" si="34"/>
        <v>22</v>
      </c>
      <c r="IO127">
        <f t="shared" si="34"/>
        <v>22</v>
      </c>
      <c r="IP127">
        <f t="shared" si="34"/>
        <v>22</v>
      </c>
      <c r="IQ127">
        <f t="shared" si="34"/>
        <v>27</v>
      </c>
      <c r="IR127">
        <f t="shared" si="34"/>
        <v>27</v>
      </c>
      <c r="IS127">
        <f t="shared" si="34"/>
        <v>22</v>
      </c>
      <c r="IT127">
        <f t="shared" si="34"/>
        <v>22</v>
      </c>
      <c r="IU127">
        <f t="shared" si="34"/>
        <v>22</v>
      </c>
      <c r="IV127">
        <f t="shared" si="34"/>
        <v>22</v>
      </c>
      <c r="IW127">
        <f t="shared" si="34"/>
        <v>22</v>
      </c>
      <c r="IX127">
        <f t="shared" si="34"/>
        <v>27</v>
      </c>
      <c r="IY127">
        <f t="shared" si="34"/>
        <v>27</v>
      </c>
      <c r="IZ127">
        <f t="shared" si="34"/>
        <v>23</v>
      </c>
      <c r="JA127">
        <f t="shared" ref="JA127:LL127" si="35">COUNTIF(JA4:JA30, "")</f>
        <v>23</v>
      </c>
      <c r="JB127">
        <f t="shared" si="35"/>
        <v>23</v>
      </c>
      <c r="JC127">
        <f t="shared" si="35"/>
        <v>23</v>
      </c>
      <c r="JD127">
        <f t="shared" si="35"/>
        <v>23</v>
      </c>
      <c r="JE127">
        <f t="shared" si="35"/>
        <v>27</v>
      </c>
      <c r="JF127">
        <f t="shared" si="35"/>
        <v>27</v>
      </c>
      <c r="JG127">
        <f t="shared" si="35"/>
        <v>23</v>
      </c>
      <c r="JH127">
        <f t="shared" si="35"/>
        <v>23</v>
      </c>
      <c r="JI127">
        <f t="shared" si="35"/>
        <v>23</v>
      </c>
      <c r="JJ127">
        <f t="shared" si="35"/>
        <v>23</v>
      </c>
      <c r="JK127">
        <f t="shared" si="35"/>
        <v>23</v>
      </c>
      <c r="JL127">
        <f t="shared" si="35"/>
        <v>27</v>
      </c>
      <c r="JM127">
        <f t="shared" si="35"/>
        <v>27</v>
      </c>
      <c r="JN127">
        <f t="shared" si="35"/>
        <v>23</v>
      </c>
      <c r="JO127">
        <f t="shared" si="35"/>
        <v>23</v>
      </c>
      <c r="JP127">
        <f t="shared" si="35"/>
        <v>23</v>
      </c>
      <c r="JQ127">
        <f t="shared" si="35"/>
        <v>23</v>
      </c>
      <c r="JR127">
        <f t="shared" si="35"/>
        <v>23</v>
      </c>
      <c r="JS127">
        <f t="shared" si="35"/>
        <v>27</v>
      </c>
      <c r="JT127">
        <f t="shared" si="35"/>
        <v>27</v>
      </c>
      <c r="JU127">
        <f t="shared" si="35"/>
        <v>22</v>
      </c>
      <c r="JV127">
        <f t="shared" si="35"/>
        <v>22</v>
      </c>
      <c r="JW127">
        <f t="shared" si="35"/>
        <v>22</v>
      </c>
      <c r="JX127">
        <f t="shared" si="35"/>
        <v>22</v>
      </c>
      <c r="JY127">
        <f t="shared" si="35"/>
        <v>22</v>
      </c>
      <c r="JZ127">
        <f t="shared" si="35"/>
        <v>27</v>
      </c>
      <c r="KA127">
        <f t="shared" si="35"/>
        <v>27</v>
      </c>
      <c r="KB127">
        <f t="shared" si="35"/>
        <v>22</v>
      </c>
      <c r="KC127">
        <f t="shared" si="35"/>
        <v>22</v>
      </c>
      <c r="KD127">
        <f t="shared" si="35"/>
        <v>22</v>
      </c>
      <c r="KE127">
        <f t="shared" si="35"/>
        <v>22</v>
      </c>
      <c r="KF127">
        <f t="shared" si="35"/>
        <v>22</v>
      </c>
      <c r="KG127">
        <f t="shared" si="35"/>
        <v>27</v>
      </c>
      <c r="KH127">
        <f t="shared" si="35"/>
        <v>27</v>
      </c>
      <c r="KI127">
        <f t="shared" si="35"/>
        <v>22</v>
      </c>
      <c r="KJ127">
        <f t="shared" si="35"/>
        <v>22</v>
      </c>
      <c r="KK127">
        <f t="shared" si="35"/>
        <v>22</v>
      </c>
      <c r="KL127">
        <f t="shared" si="35"/>
        <v>22</v>
      </c>
      <c r="KM127">
        <f t="shared" si="35"/>
        <v>22</v>
      </c>
      <c r="KN127">
        <f t="shared" si="35"/>
        <v>27</v>
      </c>
      <c r="KO127">
        <f t="shared" si="35"/>
        <v>27</v>
      </c>
      <c r="KP127">
        <f t="shared" si="35"/>
        <v>23</v>
      </c>
      <c r="KQ127">
        <f t="shared" si="35"/>
        <v>23</v>
      </c>
      <c r="KR127">
        <f t="shared" si="35"/>
        <v>23</v>
      </c>
      <c r="KS127">
        <f t="shared" si="35"/>
        <v>23</v>
      </c>
      <c r="KT127">
        <f t="shared" si="35"/>
        <v>23</v>
      </c>
      <c r="KU127">
        <f t="shared" si="35"/>
        <v>27</v>
      </c>
      <c r="KV127">
        <f t="shared" si="35"/>
        <v>27</v>
      </c>
      <c r="KW127">
        <f t="shared" si="35"/>
        <v>23</v>
      </c>
      <c r="KX127">
        <f t="shared" si="35"/>
        <v>23</v>
      </c>
      <c r="KY127">
        <f t="shared" si="35"/>
        <v>23</v>
      </c>
      <c r="KZ127">
        <f t="shared" si="35"/>
        <v>23</v>
      </c>
      <c r="LA127">
        <f t="shared" si="35"/>
        <v>23</v>
      </c>
      <c r="LB127">
        <f t="shared" si="35"/>
        <v>27</v>
      </c>
      <c r="LC127">
        <f t="shared" si="35"/>
        <v>27</v>
      </c>
      <c r="LD127">
        <f t="shared" si="35"/>
        <v>23</v>
      </c>
      <c r="LE127">
        <f t="shared" si="35"/>
        <v>23</v>
      </c>
      <c r="LF127">
        <f t="shared" si="35"/>
        <v>23</v>
      </c>
      <c r="LG127">
        <f t="shared" si="35"/>
        <v>23</v>
      </c>
      <c r="LH127">
        <f t="shared" si="35"/>
        <v>23</v>
      </c>
      <c r="LI127">
        <f t="shared" si="35"/>
        <v>27</v>
      </c>
      <c r="LJ127">
        <f t="shared" si="35"/>
        <v>27</v>
      </c>
      <c r="LK127">
        <f t="shared" si="35"/>
        <v>22</v>
      </c>
      <c r="LL127">
        <f t="shared" si="35"/>
        <v>22</v>
      </c>
      <c r="LM127">
        <f t="shared" ref="LM127:NC127" si="36">COUNTIF(LM4:LM30, "")</f>
        <v>22</v>
      </c>
      <c r="LN127">
        <f t="shared" si="36"/>
        <v>22</v>
      </c>
      <c r="LO127">
        <f t="shared" si="36"/>
        <v>22</v>
      </c>
      <c r="LP127">
        <f t="shared" si="36"/>
        <v>27</v>
      </c>
      <c r="LQ127">
        <f t="shared" si="36"/>
        <v>27</v>
      </c>
      <c r="LR127">
        <f t="shared" si="36"/>
        <v>22</v>
      </c>
      <c r="LS127">
        <f t="shared" si="36"/>
        <v>22</v>
      </c>
      <c r="LT127">
        <f t="shared" si="36"/>
        <v>22</v>
      </c>
      <c r="LU127">
        <f t="shared" si="36"/>
        <v>22</v>
      </c>
      <c r="LV127">
        <f t="shared" si="36"/>
        <v>22</v>
      </c>
      <c r="LW127">
        <f t="shared" si="36"/>
        <v>27</v>
      </c>
      <c r="LX127">
        <f t="shared" si="36"/>
        <v>27</v>
      </c>
      <c r="LY127">
        <f t="shared" si="36"/>
        <v>22</v>
      </c>
      <c r="LZ127">
        <f t="shared" si="36"/>
        <v>22</v>
      </c>
      <c r="MA127">
        <f t="shared" si="36"/>
        <v>22</v>
      </c>
      <c r="MB127">
        <f t="shared" si="36"/>
        <v>22</v>
      </c>
      <c r="MC127">
        <f t="shared" si="36"/>
        <v>22</v>
      </c>
      <c r="MD127">
        <f t="shared" si="36"/>
        <v>27</v>
      </c>
      <c r="ME127">
        <f t="shared" si="36"/>
        <v>27</v>
      </c>
      <c r="MF127">
        <f t="shared" si="36"/>
        <v>23</v>
      </c>
      <c r="MG127">
        <f t="shared" si="36"/>
        <v>23</v>
      </c>
      <c r="MH127">
        <f t="shared" si="36"/>
        <v>23</v>
      </c>
      <c r="MI127">
        <f t="shared" si="36"/>
        <v>23</v>
      </c>
      <c r="MJ127">
        <f t="shared" si="36"/>
        <v>23</v>
      </c>
      <c r="MK127">
        <f t="shared" si="36"/>
        <v>27</v>
      </c>
      <c r="ML127">
        <f t="shared" si="36"/>
        <v>27</v>
      </c>
      <c r="MM127">
        <f t="shared" si="36"/>
        <v>23</v>
      </c>
      <c r="MN127">
        <f t="shared" si="36"/>
        <v>23</v>
      </c>
      <c r="MO127">
        <f t="shared" si="36"/>
        <v>23</v>
      </c>
      <c r="MP127">
        <f t="shared" si="36"/>
        <v>23</v>
      </c>
      <c r="MQ127">
        <f t="shared" si="36"/>
        <v>23</v>
      </c>
      <c r="MR127">
        <f t="shared" si="36"/>
        <v>27</v>
      </c>
      <c r="MS127">
        <f t="shared" si="36"/>
        <v>27</v>
      </c>
      <c r="MT127">
        <f t="shared" si="36"/>
        <v>23</v>
      </c>
      <c r="MU127">
        <f t="shared" si="36"/>
        <v>23</v>
      </c>
      <c r="MV127">
        <f t="shared" si="36"/>
        <v>23</v>
      </c>
      <c r="MW127">
        <f t="shared" si="36"/>
        <v>23</v>
      </c>
      <c r="MX127">
        <f t="shared" si="36"/>
        <v>23</v>
      </c>
      <c r="MY127">
        <f t="shared" si="36"/>
        <v>27</v>
      </c>
      <c r="MZ127">
        <f t="shared" si="36"/>
        <v>27</v>
      </c>
      <c r="NA127">
        <f t="shared" si="36"/>
        <v>27</v>
      </c>
      <c r="NB127">
        <f t="shared" si="36"/>
        <v>27</v>
      </c>
      <c r="NC127">
        <f t="shared" si="36"/>
        <v>27</v>
      </c>
    </row>
    <row r="128" spans="1:367">
      <c r="A128" t="s">
        <v>124</v>
      </c>
      <c r="C128">
        <f>COUNTIF(C31:C59, "")</f>
        <v>29</v>
      </c>
      <c r="D128">
        <f>COUNTIF(D31:D59, "")</f>
        <v>29</v>
      </c>
      <c r="E128">
        <f t="shared" ref="E128:BP128" si="37">COUNTIF(E31:E59, "")</f>
        <v>29</v>
      </c>
      <c r="F128">
        <f t="shared" si="37"/>
        <v>29</v>
      </c>
      <c r="G128">
        <f t="shared" si="37"/>
        <v>29</v>
      </c>
      <c r="H128">
        <f t="shared" si="37"/>
        <v>24</v>
      </c>
      <c r="I128">
        <f t="shared" si="37"/>
        <v>24</v>
      </c>
      <c r="J128">
        <f t="shared" si="37"/>
        <v>24</v>
      </c>
      <c r="K128">
        <f t="shared" si="37"/>
        <v>24</v>
      </c>
      <c r="L128">
        <f t="shared" si="37"/>
        <v>24</v>
      </c>
      <c r="M128">
        <f t="shared" si="37"/>
        <v>29</v>
      </c>
      <c r="N128">
        <f t="shared" si="37"/>
        <v>29</v>
      </c>
      <c r="O128">
        <f t="shared" si="37"/>
        <v>24</v>
      </c>
      <c r="P128">
        <f t="shared" si="37"/>
        <v>24</v>
      </c>
      <c r="Q128">
        <f t="shared" si="37"/>
        <v>24</v>
      </c>
      <c r="R128">
        <f t="shared" si="37"/>
        <v>24</v>
      </c>
      <c r="S128">
        <f t="shared" si="37"/>
        <v>24</v>
      </c>
      <c r="T128">
        <f t="shared" si="37"/>
        <v>29</v>
      </c>
      <c r="U128">
        <f t="shared" si="37"/>
        <v>29</v>
      </c>
      <c r="V128">
        <f t="shared" si="37"/>
        <v>25</v>
      </c>
      <c r="W128">
        <f t="shared" si="37"/>
        <v>25</v>
      </c>
      <c r="X128">
        <f t="shared" si="37"/>
        <v>25</v>
      </c>
      <c r="Y128">
        <f t="shared" si="37"/>
        <v>25</v>
      </c>
      <c r="Z128">
        <f t="shared" si="37"/>
        <v>25</v>
      </c>
      <c r="AA128">
        <f t="shared" si="37"/>
        <v>29</v>
      </c>
      <c r="AB128">
        <f t="shared" si="37"/>
        <v>29</v>
      </c>
      <c r="AC128">
        <f t="shared" si="37"/>
        <v>24</v>
      </c>
      <c r="AD128">
        <f t="shared" si="37"/>
        <v>24</v>
      </c>
      <c r="AE128">
        <f t="shared" si="37"/>
        <v>24</v>
      </c>
      <c r="AF128">
        <f t="shared" si="37"/>
        <v>24</v>
      </c>
      <c r="AG128">
        <f t="shared" si="37"/>
        <v>24</v>
      </c>
      <c r="AH128">
        <f t="shared" si="37"/>
        <v>29</v>
      </c>
      <c r="AI128">
        <f t="shared" si="37"/>
        <v>29</v>
      </c>
      <c r="AJ128">
        <f t="shared" si="37"/>
        <v>24</v>
      </c>
      <c r="AK128">
        <f t="shared" si="37"/>
        <v>24</v>
      </c>
      <c r="AL128">
        <f t="shared" si="37"/>
        <v>24</v>
      </c>
      <c r="AM128">
        <f t="shared" si="37"/>
        <v>24</v>
      </c>
      <c r="AN128">
        <f t="shared" si="37"/>
        <v>24</v>
      </c>
      <c r="AO128">
        <f t="shared" si="37"/>
        <v>29</v>
      </c>
      <c r="AP128">
        <f t="shared" si="37"/>
        <v>29</v>
      </c>
      <c r="AQ128">
        <f t="shared" si="37"/>
        <v>24</v>
      </c>
      <c r="AR128">
        <f t="shared" si="37"/>
        <v>24</v>
      </c>
      <c r="AS128">
        <f t="shared" si="37"/>
        <v>24</v>
      </c>
      <c r="AT128">
        <f t="shared" si="37"/>
        <v>24</v>
      </c>
      <c r="AU128">
        <f t="shared" si="37"/>
        <v>24</v>
      </c>
      <c r="AV128">
        <f t="shared" si="37"/>
        <v>29</v>
      </c>
      <c r="AW128">
        <f t="shared" si="37"/>
        <v>29</v>
      </c>
      <c r="AX128">
        <f t="shared" si="37"/>
        <v>24</v>
      </c>
      <c r="AY128">
        <f t="shared" si="37"/>
        <v>24</v>
      </c>
      <c r="AZ128">
        <f t="shared" si="37"/>
        <v>24</v>
      </c>
      <c r="BA128">
        <f t="shared" si="37"/>
        <v>24</v>
      </c>
      <c r="BB128">
        <f t="shared" si="37"/>
        <v>24</v>
      </c>
      <c r="BC128">
        <f t="shared" si="37"/>
        <v>29</v>
      </c>
      <c r="BD128">
        <f t="shared" si="37"/>
        <v>29</v>
      </c>
      <c r="BE128">
        <f t="shared" si="37"/>
        <v>24</v>
      </c>
      <c r="BF128">
        <f t="shared" si="37"/>
        <v>24</v>
      </c>
      <c r="BG128">
        <f t="shared" si="37"/>
        <v>24</v>
      </c>
      <c r="BH128">
        <f t="shared" si="37"/>
        <v>24</v>
      </c>
      <c r="BI128">
        <f t="shared" si="37"/>
        <v>24</v>
      </c>
      <c r="BJ128">
        <f t="shared" si="37"/>
        <v>29</v>
      </c>
      <c r="BK128">
        <f t="shared" si="37"/>
        <v>29</v>
      </c>
      <c r="BL128">
        <f t="shared" si="37"/>
        <v>25</v>
      </c>
      <c r="BM128">
        <f t="shared" si="37"/>
        <v>25</v>
      </c>
      <c r="BN128">
        <f t="shared" si="37"/>
        <v>25</v>
      </c>
      <c r="BO128">
        <f t="shared" si="37"/>
        <v>25</v>
      </c>
      <c r="BP128">
        <f t="shared" si="37"/>
        <v>25</v>
      </c>
      <c r="BQ128">
        <f t="shared" ref="BQ128:EB128" si="38">COUNTIF(BQ31:BQ59, "")</f>
        <v>29</v>
      </c>
      <c r="BR128">
        <f t="shared" si="38"/>
        <v>29</v>
      </c>
      <c r="BS128">
        <f t="shared" si="38"/>
        <v>24</v>
      </c>
      <c r="BT128">
        <f t="shared" si="38"/>
        <v>24</v>
      </c>
      <c r="BU128">
        <f t="shared" si="38"/>
        <v>24</v>
      </c>
      <c r="BV128">
        <f t="shared" si="38"/>
        <v>24</v>
      </c>
      <c r="BW128">
        <f t="shared" si="38"/>
        <v>24</v>
      </c>
      <c r="BX128">
        <f t="shared" si="38"/>
        <v>29</v>
      </c>
      <c r="BY128">
        <f t="shared" si="38"/>
        <v>29</v>
      </c>
      <c r="BZ128">
        <f t="shared" si="38"/>
        <v>24</v>
      </c>
      <c r="CA128">
        <f t="shared" si="38"/>
        <v>24</v>
      </c>
      <c r="CB128">
        <f t="shared" si="38"/>
        <v>24</v>
      </c>
      <c r="CC128">
        <f t="shared" si="38"/>
        <v>24</v>
      </c>
      <c r="CD128">
        <f t="shared" si="38"/>
        <v>24</v>
      </c>
      <c r="CE128">
        <f t="shared" si="38"/>
        <v>29</v>
      </c>
      <c r="CF128">
        <f t="shared" si="38"/>
        <v>29</v>
      </c>
      <c r="CG128">
        <f t="shared" si="38"/>
        <v>24</v>
      </c>
      <c r="CH128">
        <f t="shared" si="38"/>
        <v>24</v>
      </c>
      <c r="CI128">
        <f t="shared" si="38"/>
        <v>24</v>
      </c>
      <c r="CJ128">
        <f t="shared" si="38"/>
        <v>24</v>
      </c>
      <c r="CK128">
        <f t="shared" si="38"/>
        <v>24</v>
      </c>
      <c r="CL128">
        <f t="shared" si="38"/>
        <v>29</v>
      </c>
      <c r="CM128">
        <f t="shared" si="38"/>
        <v>29</v>
      </c>
      <c r="CN128">
        <f t="shared" si="38"/>
        <v>24</v>
      </c>
      <c r="CO128">
        <f t="shared" si="38"/>
        <v>24</v>
      </c>
      <c r="CP128">
        <f t="shared" si="38"/>
        <v>24</v>
      </c>
      <c r="CQ128">
        <f t="shared" si="38"/>
        <v>24</v>
      </c>
      <c r="CR128">
        <f t="shared" si="38"/>
        <v>24</v>
      </c>
      <c r="CS128">
        <f t="shared" si="38"/>
        <v>29</v>
      </c>
      <c r="CT128">
        <f t="shared" si="38"/>
        <v>29</v>
      </c>
      <c r="CU128">
        <f t="shared" si="38"/>
        <v>24</v>
      </c>
      <c r="CV128">
        <f t="shared" si="38"/>
        <v>24</v>
      </c>
      <c r="CW128">
        <f t="shared" si="38"/>
        <v>24</v>
      </c>
      <c r="CX128">
        <f t="shared" si="38"/>
        <v>24</v>
      </c>
      <c r="CY128">
        <f t="shared" si="38"/>
        <v>24</v>
      </c>
      <c r="CZ128">
        <f t="shared" si="38"/>
        <v>29</v>
      </c>
      <c r="DA128">
        <f t="shared" si="38"/>
        <v>29</v>
      </c>
      <c r="DB128">
        <f t="shared" si="38"/>
        <v>25</v>
      </c>
      <c r="DC128">
        <f t="shared" si="38"/>
        <v>25</v>
      </c>
      <c r="DD128">
        <f t="shared" si="38"/>
        <v>25</v>
      </c>
      <c r="DE128">
        <f t="shared" si="38"/>
        <v>25</v>
      </c>
      <c r="DF128">
        <f t="shared" si="38"/>
        <v>25</v>
      </c>
      <c r="DG128">
        <f t="shared" si="38"/>
        <v>29</v>
      </c>
      <c r="DH128">
        <f t="shared" si="38"/>
        <v>29</v>
      </c>
      <c r="DI128">
        <f t="shared" si="38"/>
        <v>24</v>
      </c>
      <c r="DJ128">
        <f t="shared" si="38"/>
        <v>24</v>
      </c>
      <c r="DK128">
        <f t="shared" si="38"/>
        <v>24</v>
      </c>
      <c r="DL128">
        <f t="shared" si="38"/>
        <v>24</v>
      </c>
      <c r="DM128">
        <f t="shared" si="38"/>
        <v>24</v>
      </c>
      <c r="DN128">
        <f t="shared" si="38"/>
        <v>29</v>
      </c>
      <c r="DO128">
        <f t="shared" si="38"/>
        <v>29</v>
      </c>
      <c r="DP128">
        <f t="shared" si="38"/>
        <v>24</v>
      </c>
      <c r="DQ128">
        <f t="shared" si="38"/>
        <v>24</v>
      </c>
      <c r="DR128">
        <f t="shared" si="38"/>
        <v>24</v>
      </c>
      <c r="DS128">
        <f t="shared" si="38"/>
        <v>24</v>
      </c>
      <c r="DT128">
        <f t="shared" si="38"/>
        <v>24</v>
      </c>
      <c r="DU128">
        <f t="shared" si="38"/>
        <v>29</v>
      </c>
      <c r="DV128">
        <f t="shared" si="38"/>
        <v>29</v>
      </c>
      <c r="DW128">
        <f t="shared" si="38"/>
        <v>24</v>
      </c>
      <c r="DX128">
        <f t="shared" si="38"/>
        <v>24</v>
      </c>
      <c r="DY128">
        <f t="shared" si="38"/>
        <v>24</v>
      </c>
      <c r="DZ128">
        <f t="shared" si="38"/>
        <v>24</v>
      </c>
      <c r="EA128">
        <f t="shared" si="38"/>
        <v>24</v>
      </c>
      <c r="EB128">
        <f t="shared" si="38"/>
        <v>29</v>
      </c>
      <c r="EC128">
        <f t="shared" ref="EC128:GN128" si="39">COUNTIF(EC31:EC59, "")</f>
        <v>29</v>
      </c>
      <c r="ED128">
        <f t="shared" si="39"/>
        <v>24</v>
      </c>
      <c r="EE128">
        <f t="shared" si="39"/>
        <v>24</v>
      </c>
      <c r="EF128">
        <f t="shared" si="39"/>
        <v>24</v>
      </c>
      <c r="EG128">
        <f t="shared" si="39"/>
        <v>24</v>
      </c>
      <c r="EH128">
        <f t="shared" si="39"/>
        <v>24</v>
      </c>
      <c r="EI128">
        <f t="shared" si="39"/>
        <v>29</v>
      </c>
      <c r="EJ128">
        <f t="shared" si="39"/>
        <v>29</v>
      </c>
      <c r="EK128">
        <f t="shared" si="39"/>
        <v>24</v>
      </c>
      <c r="EL128">
        <f t="shared" si="39"/>
        <v>24</v>
      </c>
      <c r="EM128">
        <f t="shared" si="39"/>
        <v>24</v>
      </c>
      <c r="EN128">
        <f t="shared" si="39"/>
        <v>24</v>
      </c>
      <c r="EO128">
        <f t="shared" si="39"/>
        <v>24</v>
      </c>
      <c r="EP128">
        <f t="shared" si="39"/>
        <v>29</v>
      </c>
      <c r="EQ128">
        <f t="shared" si="39"/>
        <v>29</v>
      </c>
      <c r="ER128">
        <f t="shared" si="39"/>
        <v>29</v>
      </c>
      <c r="ES128">
        <f t="shared" si="39"/>
        <v>29</v>
      </c>
      <c r="ET128">
        <f t="shared" si="39"/>
        <v>29</v>
      </c>
      <c r="EU128">
        <f t="shared" si="39"/>
        <v>29</v>
      </c>
      <c r="EV128">
        <f t="shared" si="39"/>
        <v>29</v>
      </c>
      <c r="EW128">
        <f t="shared" si="39"/>
        <v>29</v>
      </c>
      <c r="EX128">
        <f t="shared" si="39"/>
        <v>29</v>
      </c>
      <c r="EY128">
        <f t="shared" si="39"/>
        <v>25</v>
      </c>
      <c r="EZ128">
        <f t="shared" si="39"/>
        <v>25</v>
      </c>
      <c r="FA128">
        <f t="shared" si="39"/>
        <v>25</v>
      </c>
      <c r="FB128">
        <f t="shared" si="39"/>
        <v>25</v>
      </c>
      <c r="FC128">
        <f t="shared" si="39"/>
        <v>25</v>
      </c>
      <c r="FD128">
        <f t="shared" si="39"/>
        <v>29</v>
      </c>
      <c r="FE128">
        <f t="shared" si="39"/>
        <v>29</v>
      </c>
      <c r="FF128">
        <f t="shared" si="39"/>
        <v>24</v>
      </c>
      <c r="FG128">
        <f t="shared" si="39"/>
        <v>24</v>
      </c>
      <c r="FH128">
        <f t="shared" si="39"/>
        <v>24</v>
      </c>
      <c r="FI128">
        <f t="shared" si="39"/>
        <v>24</v>
      </c>
      <c r="FJ128">
        <f t="shared" si="39"/>
        <v>24</v>
      </c>
      <c r="FK128">
        <f t="shared" si="39"/>
        <v>29</v>
      </c>
      <c r="FL128">
        <f t="shared" si="39"/>
        <v>29</v>
      </c>
      <c r="FM128">
        <f t="shared" si="39"/>
        <v>24</v>
      </c>
      <c r="FN128">
        <f t="shared" si="39"/>
        <v>24</v>
      </c>
      <c r="FO128">
        <f t="shared" si="39"/>
        <v>24</v>
      </c>
      <c r="FP128">
        <f t="shared" si="39"/>
        <v>24</v>
      </c>
      <c r="FQ128">
        <f t="shared" si="39"/>
        <v>24</v>
      </c>
      <c r="FR128">
        <f t="shared" si="39"/>
        <v>29</v>
      </c>
      <c r="FS128">
        <f t="shared" si="39"/>
        <v>29</v>
      </c>
      <c r="FT128">
        <f t="shared" si="39"/>
        <v>29</v>
      </c>
      <c r="FU128">
        <f t="shared" si="39"/>
        <v>29</v>
      </c>
      <c r="FV128">
        <f t="shared" si="39"/>
        <v>29</v>
      </c>
      <c r="FW128">
        <f t="shared" si="39"/>
        <v>29</v>
      </c>
      <c r="FX128">
        <f t="shared" si="39"/>
        <v>29</v>
      </c>
      <c r="FY128">
        <f t="shared" si="39"/>
        <v>29</v>
      </c>
      <c r="FZ128">
        <f t="shared" si="39"/>
        <v>29</v>
      </c>
      <c r="GA128">
        <f t="shared" si="39"/>
        <v>29</v>
      </c>
      <c r="GB128">
        <f t="shared" si="39"/>
        <v>29</v>
      </c>
      <c r="GC128">
        <f t="shared" si="39"/>
        <v>29</v>
      </c>
      <c r="GD128">
        <f t="shared" si="39"/>
        <v>29</v>
      </c>
      <c r="GE128">
        <f t="shared" si="39"/>
        <v>29</v>
      </c>
      <c r="GF128">
        <f t="shared" si="39"/>
        <v>29</v>
      </c>
      <c r="GG128">
        <f t="shared" si="39"/>
        <v>29</v>
      </c>
      <c r="GH128">
        <f t="shared" si="39"/>
        <v>24</v>
      </c>
      <c r="GI128">
        <f t="shared" si="39"/>
        <v>24</v>
      </c>
      <c r="GJ128">
        <f t="shared" si="39"/>
        <v>24</v>
      </c>
      <c r="GK128">
        <f t="shared" si="39"/>
        <v>24</v>
      </c>
      <c r="GL128">
        <f t="shared" si="39"/>
        <v>24</v>
      </c>
      <c r="GM128">
        <f t="shared" si="39"/>
        <v>29</v>
      </c>
      <c r="GN128">
        <f t="shared" si="39"/>
        <v>29</v>
      </c>
      <c r="GO128">
        <f t="shared" ref="GO128:IZ128" si="40">COUNTIF(GO31:GO59, "")</f>
        <v>24</v>
      </c>
      <c r="GP128">
        <f t="shared" si="40"/>
        <v>24</v>
      </c>
      <c r="GQ128">
        <f t="shared" si="40"/>
        <v>24</v>
      </c>
      <c r="GR128">
        <f t="shared" si="40"/>
        <v>24</v>
      </c>
      <c r="GS128">
        <f t="shared" si="40"/>
        <v>24</v>
      </c>
      <c r="GT128">
        <f t="shared" si="40"/>
        <v>29</v>
      </c>
      <c r="GU128">
        <f t="shared" si="40"/>
        <v>29</v>
      </c>
      <c r="GV128">
        <f t="shared" si="40"/>
        <v>24</v>
      </c>
      <c r="GW128">
        <f t="shared" si="40"/>
        <v>24</v>
      </c>
      <c r="GX128">
        <f t="shared" si="40"/>
        <v>24</v>
      </c>
      <c r="GY128">
        <f t="shared" si="40"/>
        <v>24</v>
      </c>
      <c r="GZ128">
        <f t="shared" si="40"/>
        <v>24</v>
      </c>
      <c r="HA128">
        <f t="shared" si="40"/>
        <v>29</v>
      </c>
      <c r="HB128">
        <f t="shared" si="40"/>
        <v>29</v>
      </c>
      <c r="HC128">
        <f t="shared" si="40"/>
        <v>25</v>
      </c>
      <c r="HD128">
        <f t="shared" si="40"/>
        <v>25</v>
      </c>
      <c r="HE128">
        <f t="shared" si="40"/>
        <v>25</v>
      </c>
      <c r="HF128">
        <f t="shared" si="40"/>
        <v>25</v>
      </c>
      <c r="HG128">
        <f t="shared" si="40"/>
        <v>25</v>
      </c>
      <c r="HH128">
        <f t="shared" si="40"/>
        <v>29</v>
      </c>
      <c r="HI128">
        <f t="shared" si="40"/>
        <v>29</v>
      </c>
      <c r="HJ128">
        <f t="shared" si="40"/>
        <v>24</v>
      </c>
      <c r="HK128">
        <f t="shared" si="40"/>
        <v>24</v>
      </c>
      <c r="HL128">
        <f t="shared" si="40"/>
        <v>24</v>
      </c>
      <c r="HM128">
        <f t="shared" si="40"/>
        <v>24</v>
      </c>
      <c r="HN128">
        <f t="shared" si="40"/>
        <v>24</v>
      </c>
      <c r="HO128">
        <f t="shared" si="40"/>
        <v>29</v>
      </c>
      <c r="HP128">
        <f t="shared" si="40"/>
        <v>29</v>
      </c>
      <c r="HQ128">
        <f t="shared" si="40"/>
        <v>24</v>
      </c>
      <c r="HR128">
        <f t="shared" si="40"/>
        <v>24</v>
      </c>
      <c r="HS128">
        <f t="shared" si="40"/>
        <v>24</v>
      </c>
      <c r="HT128">
        <f t="shared" si="40"/>
        <v>24</v>
      </c>
      <c r="HU128">
        <f t="shared" si="40"/>
        <v>24</v>
      </c>
      <c r="HV128">
        <f t="shared" si="40"/>
        <v>29</v>
      </c>
      <c r="HW128">
        <f t="shared" si="40"/>
        <v>29</v>
      </c>
      <c r="HX128">
        <f t="shared" si="40"/>
        <v>24</v>
      </c>
      <c r="HY128">
        <f t="shared" si="40"/>
        <v>24</v>
      </c>
      <c r="HZ128">
        <f t="shared" si="40"/>
        <v>24</v>
      </c>
      <c r="IA128">
        <f t="shared" si="40"/>
        <v>24</v>
      </c>
      <c r="IB128">
        <f t="shared" si="40"/>
        <v>24</v>
      </c>
      <c r="IC128">
        <f t="shared" si="40"/>
        <v>29</v>
      </c>
      <c r="ID128">
        <f t="shared" si="40"/>
        <v>29</v>
      </c>
      <c r="IE128">
        <f t="shared" si="40"/>
        <v>24</v>
      </c>
      <c r="IF128">
        <f t="shared" si="40"/>
        <v>24</v>
      </c>
      <c r="IG128">
        <f t="shared" si="40"/>
        <v>24</v>
      </c>
      <c r="IH128">
        <f t="shared" si="40"/>
        <v>24</v>
      </c>
      <c r="II128">
        <f t="shared" si="40"/>
        <v>24</v>
      </c>
      <c r="IJ128">
        <f t="shared" si="40"/>
        <v>29</v>
      </c>
      <c r="IK128">
        <f t="shared" si="40"/>
        <v>29</v>
      </c>
      <c r="IL128">
        <f t="shared" si="40"/>
        <v>24</v>
      </c>
      <c r="IM128">
        <f t="shared" si="40"/>
        <v>24</v>
      </c>
      <c r="IN128">
        <f t="shared" si="40"/>
        <v>24</v>
      </c>
      <c r="IO128">
        <f t="shared" si="40"/>
        <v>24</v>
      </c>
      <c r="IP128">
        <f t="shared" si="40"/>
        <v>24</v>
      </c>
      <c r="IQ128">
        <f t="shared" si="40"/>
        <v>29</v>
      </c>
      <c r="IR128">
        <f t="shared" si="40"/>
        <v>29</v>
      </c>
      <c r="IS128">
        <f t="shared" si="40"/>
        <v>25</v>
      </c>
      <c r="IT128">
        <f t="shared" si="40"/>
        <v>25</v>
      </c>
      <c r="IU128">
        <f t="shared" si="40"/>
        <v>25</v>
      </c>
      <c r="IV128">
        <f t="shared" si="40"/>
        <v>25</v>
      </c>
      <c r="IW128">
        <f t="shared" si="40"/>
        <v>25</v>
      </c>
      <c r="IX128">
        <f t="shared" si="40"/>
        <v>29</v>
      </c>
      <c r="IY128">
        <f t="shared" si="40"/>
        <v>29</v>
      </c>
      <c r="IZ128">
        <f t="shared" si="40"/>
        <v>24</v>
      </c>
      <c r="JA128">
        <f t="shared" ref="JA128:LL128" si="41">COUNTIF(JA31:JA59, "")</f>
        <v>24</v>
      </c>
      <c r="JB128">
        <f t="shared" si="41"/>
        <v>24</v>
      </c>
      <c r="JC128">
        <f t="shared" si="41"/>
        <v>24</v>
      </c>
      <c r="JD128">
        <f t="shared" si="41"/>
        <v>24</v>
      </c>
      <c r="JE128">
        <f t="shared" si="41"/>
        <v>29</v>
      </c>
      <c r="JF128">
        <f t="shared" si="41"/>
        <v>29</v>
      </c>
      <c r="JG128">
        <f t="shared" si="41"/>
        <v>24</v>
      </c>
      <c r="JH128">
        <f t="shared" si="41"/>
        <v>24</v>
      </c>
      <c r="JI128">
        <f t="shared" si="41"/>
        <v>24</v>
      </c>
      <c r="JJ128">
        <f t="shared" si="41"/>
        <v>24</v>
      </c>
      <c r="JK128">
        <f t="shared" si="41"/>
        <v>24</v>
      </c>
      <c r="JL128">
        <f t="shared" si="41"/>
        <v>29</v>
      </c>
      <c r="JM128">
        <f t="shared" si="41"/>
        <v>29</v>
      </c>
      <c r="JN128">
        <f t="shared" si="41"/>
        <v>24</v>
      </c>
      <c r="JO128">
        <f t="shared" si="41"/>
        <v>24</v>
      </c>
      <c r="JP128">
        <f t="shared" si="41"/>
        <v>24</v>
      </c>
      <c r="JQ128">
        <f t="shared" si="41"/>
        <v>24</v>
      </c>
      <c r="JR128">
        <f t="shared" si="41"/>
        <v>24</v>
      </c>
      <c r="JS128">
        <f t="shared" si="41"/>
        <v>29</v>
      </c>
      <c r="JT128">
        <f t="shared" si="41"/>
        <v>29</v>
      </c>
      <c r="JU128">
        <f t="shared" si="41"/>
        <v>24</v>
      </c>
      <c r="JV128">
        <f t="shared" si="41"/>
        <v>24</v>
      </c>
      <c r="JW128">
        <f t="shared" si="41"/>
        <v>24</v>
      </c>
      <c r="JX128">
        <f t="shared" si="41"/>
        <v>24</v>
      </c>
      <c r="JY128">
        <f t="shared" si="41"/>
        <v>24</v>
      </c>
      <c r="JZ128">
        <f t="shared" si="41"/>
        <v>29</v>
      </c>
      <c r="KA128">
        <f t="shared" si="41"/>
        <v>29</v>
      </c>
      <c r="KB128">
        <f t="shared" si="41"/>
        <v>24</v>
      </c>
      <c r="KC128">
        <f t="shared" si="41"/>
        <v>24</v>
      </c>
      <c r="KD128">
        <f t="shared" si="41"/>
        <v>24</v>
      </c>
      <c r="KE128">
        <f t="shared" si="41"/>
        <v>24</v>
      </c>
      <c r="KF128">
        <f t="shared" si="41"/>
        <v>24</v>
      </c>
      <c r="KG128">
        <f t="shared" si="41"/>
        <v>29</v>
      </c>
      <c r="KH128">
        <f t="shared" si="41"/>
        <v>29</v>
      </c>
      <c r="KI128">
        <f t="shared" si="41"/>
        <v>25</v>
      </c>
      <c r="KJ128">
        <f t="shared" si="41"/>
        <v>25</v>
      </c>
      <c r="KK128">
        <f t="shared" si="41"/>
        <v>25</v>
      </c>
      <c r="KL128">
        <f t="shared" si="41"/>
        <v>25</v>
      </c>
      <c r="KM128">
        <f t="shared" si="41"/>
        <v>25</v>
      </c>
      <c r="KN128">
        <f t="shared" si="41"/>
        <v>29</v>
      </c>
      <c r="KO128">
        <f t="shared" si="41"/>
        <v>29</v>
      </c>
      <c r="KP128">
        <f t="shared" si="41"/>
        <v>24</v>
      </c>
      <c r="KQ128">
        <f t="shared" si="41"/>
        <v>24</v>
      </c>
      <c r="KR128">
        <f t="shared" si="41"/>
        <v>24</v>
      </c>
      <c r="KS128">
        <f t="shared" si="41"/>
        <v>24</v>
      </c>
      <c r="KT128">
        <f t="shared" si="41"/>
        <v>24</v>
      </c>
      <c r="KU128">
        <f t="shared" si="41"/>
        <v>29</v>
      </c>
      <c r="KV128">
        <f t="shared" si="41"/>
        <v>29</v>
      </c>
      <c r="KW128">
        <f t="shared" si="41"/>
        <v>24</v>
      </c>
      <c r="KX128">
        <f t="shared" si="41"/>
        <v>24</v>
      </c>
      <c r="KY128">
        <f t="shared" si="41"/>
        <v>24</v>
      </c>
      <c r="KZ128">
        <f t="shared" si="41"/>
        <v>24</v>
      </c>
      <c r="LA128">
        <f t="shared" si="41"/>
        <v>24</v>
      </c>
      <c r="LB128">
        <f t="shared" si="41"/>
        <v>29</v>
      </c>
      <c r="LC128">
        <f t="shared" si="41"/>
        <v>29</v>
      </c>
      <c r="LD128">
        <f t="shared" si="41"/>
        <v>24</v>
      </c>
      <c r="LE128">
        <f t="shared" si="41"/>
        <v>24</v>
      </c>
      <c r="LF128">
        <f t="shared" si="41"/>
        <v>24</v>
      </c>
      <c r="LG128">
        <f t="shared" si="41"/>
        <v>24</v>
      </c>
      <c r="LH128">
        <f t="shared" si="41"/>
        <v>24</v>
      </c>
      <c r="LI128">
        <f t="shared" si="41"/>
        <v>29</v>
      </c>
      <c r="LJ128">
        <f t="shared" si="41"/>
        <v>29</v>
      </c>
      <c r="LK128">
        <f t="shared" si="41"/>
        <v>24</v>
      </c>
      <c r="LL128">
        <f t="shared" si="41"/>
        <v>24</v>
      </c>
      <c r="LM128">
        <f t="shared" ref="LM128:NC128" si="42">COUNTIF(LM31:LM59, "")</f>
        <v>24</v>
      </c>
      <c r="LN128">
        <f t="shared" si="42"/>
        <v>24</v>
      </c>
      <c r="LO128">
        <f t="shared" si="42"/>
        <v>24</v>
      </c>
      <c r="LP128">
        <f t="shared" si="42"/>
        <v>29</v>
      </c>
      <c r="LQ128">
        <f t="shared" si="42"/>
        <v>29</v>
      </c>
      <c r="LR128">
        <f t="shared" si="42"/>
        <v>24</v>
      </c>
      <c r="LS128">
        <f t="shared" si="42"/>
        <v>24</v>
      </c>
      <c r="LT128">
        <f t="shared" si="42"/>
        <v>24</v>
      </c>
      <c r="LU128">
        <f t="shared" si="42"/>
        <v>24</v>
      </c>
      <c r="LV128">
        <f t="shared" si="42"/>
        <v>24</v>
      </c>
      <c r="LW128">
        <f t="shared" si="42"/>
        <v>29</v>
      </c>
      <c r="LX128">
        <f t="shared" si="42"/>
        <v>29</v>
      </c>
      <c r="LY128">
        <f t="shared" si="42"/>
        <v>25</v>
      </c>
      <c r="LZ128">
        <f t="shared" si="42"/>
        <v>25</v>
      </c>
      <c r="MA128">
        <f t="shared" si="42"/>
        <v>25</v>
      </c>
      <c r="MB128">
        <f t="shared" si="42"/>
        <v>25</v>
      </c>
      <c r="MC128">
        <f t="shared" si="42"/>
        <v>25</v>
      </c>
      <c r="MD128">
        <f t="shared" si="42"/>
        <v>29</v>
      </c>
      <c r="ME128">
        <f t="shared" si="42"/>
        <v>29</v>
      </c>
      <c r="MF128">
        <f t="shared" si="42"/>
        <v>24</v>
      </c>
      <c r="MG128">
        <f t="shared" si="42"/>
        <v>24</v>
      </c>
      <c r="MH128">
        <f t="shared" si="42"/>
        <v>24</v>
      </c>
      <c r="MI128">
        <f t="shared" si="42"/>
        <v>24</v>
      </c>
      <c r="MJ128">
        <f t="shared" si="42"/>
        <v>24</v>
      </c>
      <c r="MK128">
        <f t="shared" si="42"/>
        <v>29</v>
      </c>
      <c r="ML128">
        <f t="shared" si="42"/>
        <v>29</v>
      </c>
      <c r="MM128">
        <f t="shared" si="42"/>
        <v>24</v>
      </c>
      <c r="MN128">
        <f t="shared" si="42"/>
        <v>24</v>
      </c>
      <c r="MO128">
        <f t="shared" si="42"/>
        <v>24</v>
      </c>
      <c r="MP128">
        <f t="shared" si="42"/>
        <v>24</v>
      </c>
      <c r="MQ128">
        <f t="shared" si="42"/>
        <v>24</v>
      </c>
      <c r="MR128">
        <f t="shared" si="42"/>
        <v>29</v>
      </c>
      <c r="MS128">
        <f t="shared" si="42"/>
        <v>29</v>
      </c>
      <c r="MT128">
        <f t="shared" si="42"/>
        <v>24</v>
      </c>
      <c r="MU128">
        <f t="shared" si="42"/>
        <v>24</v>
      </c>
      <c r="MV128">
        <f t="shared" si="42"/>
        <v>24</v>
      </c>
      <c r="MW128">
        <f t="shared" si="42"/>
        <v>24</v>
      </c>
      <c r="MX128">
        <f t="shared" si="42"/>
        <v>24</v>
      </c>
      <c r="MY128">
        <f t="shared" si="42"/>
        <v>29</v>
      </c>
      <c r="MZ128">
        <f t="shared" si="42"/>
        <v>29</v>
      </c>
      <c r="NA128">
        <f t="shared" si="42"/>
        <v>29</v>
      </c>
      <c r="NB128">
        <f t="shared" si="42"/>
        <v>29</v>
      </c>
      <c r="NC128">
        <f t="shared" si="42"/>
        <v>29</v>
      </c>
    </row>
    <row r="129" spans="1:367">
      <c r="A129" t="s">
        <v>125</v>
      </c>
      <c r="C129">
        <f>COUNTIF(C60:C85, "")</f>
        <v>26</v>
      </c>
      <c r="D129">
        <f>COUNTIF(D60:D85, "")</f>
        <v>26</v>
      </c>
      <c r="E129">
        <f t="shared" ref="E129:BP129" si="43">COUNTIF(E60:E85, "")</f>
        <v>26</v>
      </c>
      <c r="F129">
        <f t="shared" si="43"/>
        <v>26</v>
      </c>
      <c r="G129">
        <f t="shared" si="43"/>
        <v>26</v>
      </c>
      <c r="H129">
        <f t="shared" si="43"/>
        <v>22</v>
      </c>
      <c r="I129">
        <f t="shared" si="43"/>
        <v>22</v>
      </c>
      <c r="J129">
        <f t="shared" si="43"/>
        <v>22</v>
      </c>
      <c r="K129">
        <f t="shared" si="43"/>
        <v>22</v>
      </c>
      <c r="L129">
        <f t="shared" si="43"/>
        <v>22</v>
      </c>
      <c r="M129">
        <f t="shared" si="43"/>
        <v>26</v>
      </c>
      <c r="N129">
        <f t="shared" si="43"/>
        <v>26</v>
      </c>
      <c r="O129">
        <f t="shared" si="43"/>
        <v>22</v>
      </c>
      <c r="P129">
        <f t="shared" si="43"/>
        <v>22</v>
      </c>
      <c r="Q129">
        <f t="shared" si="43"/>
        <v>22</v>
      </c>
      <c r="R129">
        <f t="shared" si="43"/>
        <v>22</v>
      </c>
      <c r="S129">
        <f t="shared" si="43"/>
        <v>22</v>
      </c>
      <c r="T129">
        <f t="shared" si="43"/>
        <v>26</v>
      </c>
      <c r="U129">
        <f t="shared" si="43"/>
        <v>26</v>
      </c>
      <c r="V129">
        <f t="shared" si="43"/>
        <v>21</v>
      </c>
      <c r="W129">
        <f t="shared" si="43"/>
        <v>21</v>
      </c>
      <c r="X129">
        <f t="shared" si="43"/>
        <v>21</v>
      </c>
      <c r="Y129">
        <f t="shared" si="43"/>
        <v>21</v>
      </c>
      <c r="Z129">
        <f t="shared" si="43"/>
        <v>21</v>
      </c>
      <c r="AA129">
        <f t="shared" si="43"/>
        <v>26</v>
      </c>
      <c r="AB129">
        <f t="shared" si="43"/>
        <v>26</v>
      </c>
      <c r="AC129">
        <f t="shared" si="43"/>
        <v>21</v>
      </c>
      <c r="AD129">
        <f t="shared" si="43"/>
        <v>21</v>
      </c>
      <c r="AE129">
        <f t="shared" si="43"/>
        <v>21</v>
      </c>
      <c r="AF129">
        <f t="shared" si="43"/>
        <v>21</v>
      </c>
      <c r="AG129">
        <f t="shared" si="43"/>
        <v>21</v>
      </c>
      <c r="AH129">
        <f t="shared" si="43"/>
        <v>26</v>
      </c>
      <c r="AI129">
        <f t="shared" si="43"/>
        <v>26</v>
      </c>
      <c r="AJ129">
        <f t="shared" si="43"/>
        <v>22</v>
      </c>
      <c r="AK129">
        <f t="shared" si="43"/>
        <v>22</v>
      </c>
      <c r="AL129">
        <f t="shared" si="43"/>
        <v>22</v>
      </c>
      <c r="AM129">
        <f t="shared" si="43"/>
        <v>22</v>
      </c>
      <c r="AN129">
        <f t="shared" si="43"/>
        <v>22</v>
      </c>
      <c r="AO129">
        <f t="shared" si="43"/>
        <v>26</v>
      </c>
      <c r="AP129">
        <f t="shared" si="43"/>
        <v>26</v>
      </c>
      <c r="AQ129">
        <f t="shared" si="43"/>
        <v>22</v>
      </c>
      <c r="AR129">
        <f t="shared" si="43"/>
        <v>22</v>
      </c>
      <c r="AS129">
        <f t="shared" si="43"/>
        <v>22</v>
      </c>
      <c r="AT129">
        <f t="shared" si="43"/>
        <v>22</v>
      </c>
      <c r="AU129">
        <f t="shared" si="43"/>
        <v>22</v>
      </c>
      <c r="AV129">
        <f t="shared" si="43"/>
        <v>26</v>
      </c>
      <c r="AW129">
        <f t="shared" si="43"/>
        <v>26</v>
      </c>
      <c r="AX129">
        <f t="shared" si="43"/>
        <v>22</v>
      </c>
      <c r="AY129">
        <f t="shared" si="43"/>
        <v>22</v>
      </c>
      <c r="AZ129">
        <f t="shared" si="43"/>
        <v>22</v>
      </c>
      <c r="BA129">
        <f t="shared" si="43"/>
        <v>22</v>
      </c>
      <c r="BB129">
        <f t="shared" si="43"/>
        <v>22</v>
      </c>
      <c r="BC129">
        <f t="shared" si="43"/>
        <v>26</v>
      </c>
      <c r="BD129">
        <f t="shared" si="43"/>
        <v>26</v>
      </c>
      <c r="BE129">
        <f t="shared" si="43"/>
        <v>22</v>
      </c>
      <c r="BF129">
        <f t="shared" si="43"/>
        <v>22</v>
      </c>
      <c r="BG129">
        <f t="shared" si="43"/>
        <v>22</v>
      </c>
      <c r="BH129">
        <f t="shared" si="43"/>
        <v>22</v>
      </c>
      <c r="BI129">
        <f t="shared" si="43"/>
        <v>22</v>
      </c>
      <c r="BJ129">
        <f t="shared" si="43"/>
        <v>26</v>
      </c>
      <c r="BK129">
        <f t="shared" si="43"/>
        <v>26</v>
      </c>
      <c r="BL129">
        <f t="shared" si="43"/>
        <v>21</v>
      </c>
      <c r="BM129">
        <f t="shared" si="43"/>
        <v>21</v>
      </c>
      <c r="BN129">
        <f t="shared" si="43"/>
        <v>21</v>
      </c>
      <c r="BO129">
        <f t="shared" si="43"/>
        <v>21</v>
      </c>
      <c r="BP129">
        <f t="shared" si="43"/>
        <v>21</v>
      </c>
      <c r="BQ129">
        <f t="shared" ref="BQ129:EB129" si="44">COUNTIF(BQ60:BQ85, "")</f>
        <v>26</v>
      </c>
      <c r="BR129">
        <f t="shared" si="44"/>
        <v>26</v>
      </c>
      <c r="BS129">
        <f t="shared" si="44"/>
        <v>21</v>
      </c>
      <c r="BT129">
        <f t="shared" si="44"/>
        <v>21</v>
      </c>
      <c r="BU129">
        <f t="shared" si="44"/>
        <v>21</v>
      </c>
      <c r="BV129">
        <f t="shared" si="44"/>
        <v>21</v>
      </c>
      <c r="BW129">
        <f t="shared" si="44"/>
        <v>21</v>
      </c>
      <c r="BX129">
        <f t="shared" si="44"/>
        <v>26</v>
      </c>
      <c r="BY129">
        <f t="shared" si="44"/>
        <v>26</v>
      </c>
      <c r="BZ129">
        <f t="shared" si="44"/>
        <v>22</v>
      </c>
      <c r="CA129">
        <f t="shared" si="44"/>
        <v>22</v>
      </c>
      <c r="CB129">
        <f t="shared" si="44"/>
        <v>22</v>
      </c>
      <c r="CC129">
        <f t="shared" si="44"/>
        <v>22</v>
      </c>
      <c r="CD129">
        <f t="shared" si="44"/>
        <v>22</v>
      </c>
      <c r="CE129">
        <f t="shared" si="44"/>
        <v>26</v>
      </c>
      <c r="CF129">
        <f t="shared" si="44"/>
        <v>26</v>
      </c>
      <c r="CG129">
        <f t="shared" si="44"/>
        <v>22</v>
      </c>
      <c r="CH129">
        <f t="shared" si="44"/>
        <v>22</v>
      </c>
      <c r="CI129">
        <f t="shared" si="44"/>
        <v>22</v>
      </c>
      <c r="CJ129">
        <f t="shared" si="44"/>
        <v>22</v>
      </c>
      <c r="CK129">
        <f t="shared" si="44"/>
        <v>22</v>
      </c>
      <c r="CL129">
        <f t="shared" si="44"/>
        <v>26</v>
      </c>
      <c r="CM129">
        <f t="shared" si="44"/>
        <v>26</v>
      </c>
      <c r="CN129">
        <f t="shared" si="44"/>
        <v>22</v>
      </c>
      <c r="CO129">
        <f t="shared" si="44"/>
        <v>22</v>
      </c>
      <c r="CP129">
        <f t="shared" si="44"/>
        <v>22</v>
      </c>
      <c r="CQ129">
        <f t="shared" si="44"/>
        <v>22</v>
      </c>
      <c r="CR129">
        <f t="shared" si="44"/>
        <v>22</v>
      </c>
      <c r="CS129">
        <f t="shared" si="44"/>
        <v>26</v>
      </c>
      <c r="CT129">
        <f t="shared" si="44"/>
        <v>26</v>
      </c>
      <c r="CU129">
        <f t="shared" si="44"/>
        <v>22</v>
      </c>
      <c r="CV129">
        <f t="shared" si="44"/>
        <v>22</v>
      </c>
      <c r="CW129">
        <f t="shared" si="44"/>
        <v>22</v>
      </c>
      <c r="CX129">
        <f t="shared" si="44"/>
        <v>22</v>
      </c>
      <c r="CY129">
        <f t="shared" si="44"/>
        <v>22</v>
      </c>
      <c r="CZ129">
        <f t="shared" si="44"/>
        <v>26</v>
      </c>
      <c r="DA129">
        <f t="shared" si="44"/>
        <v>26</v>
      </c>
      <c r="DB129">
        <f t="shared" si="44"/>
        <v>21</v>
      </c>
      <c r="DC129">
        <f t="shared" si="44"/>
        <v>21</v>
      </c>
      <c r="DD129">
        <f t="shared" si="44"/>
        <v>21</v>
      </c>
      <c r="DE129">
        <f t="shared" si="44"/>
        <v>21</v>
      </c>
      <c r="DF129">
        <f t="shared" si="44"/>
        <v>21</v>
      </c>
      <c r="DG129">
        <f t="shared" si="44"/>
        <v>26</v>
      </c>
      <c r="DH129">
        <f t="shared" si="44"/>
        <v>26</v>
      </c>
      <c r="DI129">
        <f t="shared" si="44"/>
        <v>21</v>
      </c>
      <c r="DJ129">
        <f t="shared" si="44"/>
        <v>21</v>
      </c>
      <c r="DK129">
        <f t="shared" si="44"/>
        <v>21</v>
      </c>
      <c r="DL129">
        <f t="shared" si="44"/>
        <v>21</v>
      </c>
      <c r="DM129">
        <f t="shared" si="44"/>
        <v>21</v>
      </c>
      <c r="DN129">
        <f t="shared" si="44"/>
        <v>26</v>
      </c>
      <c r="DO129">
        <f t="shared" si="44"/>
        <v>26</v>
      </c>
      <c r="DP129">
        <f t="shared" si="44"/>
        <v>22</v>
      </c>
      <c r="DQ129">
        <f t="shared" si="44"/>
        <v>22</v>
      </c>
      <c r="DR129">
        <f t="shared" si="44"/>
        <v>22</v>
      </c>
      <c r="DS129">
        <f t="shared" si="44"/>
        <v>22</v>
      </c>
      <c r="DT129">
        <f t="shared" si="44"/>
        <v>22</v>
      </c>
      <c r="DU129">
        <f t="shared" si="44"/>
        <v>26</v>
      </c>
      <c r="DV129">
        <f t="shared" si="44"/>
        <v>26</v>
      </c>
      <c r="DW129">
        <f t="shared" si="44"/>
        <v>22</v>
      </c>
      <c r="DX129">
        <f t="shared" si="44"/>
        <v>22</v>
      </c>
      <c r="DY129">
        <f t="shared" si="44"/>
        <v>22</v>
      </c>
      <c r="DZ129">
        <f t="shared" si="44"/>
        <v>22</v>
      </c>
      <c r="EA129">
        <f t="shared" si="44"/>
        <v>22</v>
      </c>
      <c r="EB129">
        <f t="shared" si="44"/>
        <v>26</v>
      </c>
      <c r="EC129">
        <f t="shared" ref="EC129:GN129" si="45">COUNTIF(EC60:EC85, "")</f>
        <v>26</v>
      </c>
      <c r="ED129">
        <f t="shared" si="45"/>
        <v>22</v>
      </c>
      <c r="EE129">
        <f t="shared" si="45"/>
        <v>22</v>
      </c>
      <c r="EF129">
        <f t="shared" si="45"/>
        <v>22</v>
      </c>
      <c r="EG129">
        <f t="shared" si="45"/>
        <v>22</v>
      </c>
      <c r="EH129">
        <f t="shared" si="45"/>
        <v>22</v>
      </c>
      <c r="EI129">
        <f t="shared" si="45"/>
        <v>26</v>
      </c>
      <c r="EJ129">
        <f t="shared" si="45"/>
        <v>26</v>
      </c>
      <c r="EK129">
        <f t="shared" si="45"/>
        <v>22</v>
      </c>
      <c r="EL129">
        <f t="shared" si="45"/>
        <v>22</v>
      </c>
      <c r="EM129">
        <f t="shared" si="45"/>
        <v>22</v>
      </c>
      <c r="EN129">
        <f t="shared" si="45"/>
        <v>22</v>
      </c>
      <c r="EO129">
        <f t="shared" si="45"/>
        <v>22</v>
      </c>
      <c r="EP129">
        <f t="shared" si="45"/>
        <v>26</v>
      </c>
      <c r="EQ129">
        <f t="shared" si="45"/>
        <v>26</v>
      </c>
      <c r="ER129">
        <f t="shared" si="45"/>
        <v>26</v>
      </c>
      <c r="ES129">
        <f t="shared" si="45"/>
        <v>26</v>
      </c>
      <c r="ET129">
        <f t="shared" si="45"/>
        <v>26</v>
      </c>
      <c r="EU129">
        <f t="shared" si="45"/>
        <v>26</v>
      </c>
      <c r="EV129">
        <f t="shared" si="45"/>
        <v>26</v>
      </c>
      <c r="EW129">
        <f t="shared" si="45"/>
        <v>26</v>
      </c>
      <c r="EX129">
        <f t="shared" si="45"/>
        <v>26</v>
      </c>
      <c r="EY129">
        <f t="shared" si="45"/>
        <v>21</v>
      </c>
      <c r="EZ129">
        <f t="shared" si="45"/>
        <v>21</v>
      </c>
      <c r="FA129">
        <f t="shared" si="45"/>
        <v>21</v>
      </c>
      <c r="FB129">
        <f t="shared" si="45"/>
        <v>21</v>
      </c>
      <c r="FC129">
        <f t="shared" si="45"/>
        <v>21</v>
      </c>
      <c r="FD129">
        <f t="shared" si="45"/>
        <v>26</v>
      </c>
      <c r="FE129">
        <f t="shared" si="45"/>
        <v>26</v>
      </c>
      <c r="FF129">
        <f t="shared" si="45"/>
        <v>21</v>
      </c>
      <c r="FG129">
        <f t="shared" si="45"/>
        <v>21</v>
      </c>
      <c r="FH129">
        <f t="shared" si="45"/>
        <v>21</v>
      </c>
      <c r="FI129">
        <f t="shared" si="45"/>
        <v>21</v>
      </c>
      <c r="FJ129">
        <f t="shared" si="45"/>
        <v>21</v>
      </c>
      <c r="FK129">
        <f t="shared" si="45"/>
        <v>26</v>
      </c>
      <c r="FL129">
        <f t="shared" si="45"/>
        <v>26</v>
      </c>
      <c r="FM129">
        <f t="shared" si="45"/>
        <v>22</v>
      </c>
      <c r="FN129">
        <f t="shared" si="45"/>
        <v>22</v>
      </c>
      <c r="FO129">
        <f t="shared" si="45"/>
        <v>22</v>
      </c>
      <c r="FP129">
        <f t="shared" si="45"/>
        <v>22</v>
      </c>
      <c r="FQ129">
        <f t="shared" si="45"/>
        <v>22</v>
      </c>
      <c r="FR129">
        <f t="shared" si="45"/>
        <v>26</v>
      </c>
      <c r="FS129">
        <f t="shared" si="45"/>
        <v>26</v>
      </c>
      <c r="FT129">
        <f t="shared" si="45"/>
        <v>26</v>
      </c>
      <c r="FU129">
        <f t="shared" si="45"/>
        <v>26</v>
      </c>
      <c r="FV129">
        <f t="shared" si="45"/>
        <v>26</v>
      </c>
      <c r="FW129">
        <f t="shared" si="45"/>
        <v>26</v>
      </c>
      <c r="FX129">
        <f t="shared" si="45"/>
        <v>26</v>
      </c>
      <c r="FY129">
        <f t="shared" si="45"/>
        <v>26</v>
      </c>
      <c r="FZ129">
        <f t="shared" si="45"/>
        <v>26</v>
      </c>
      <c r="GA129">
        <f t="shared" si="45"/>
        <v>26</v>
      </c>
      <c r="GB129">
        <f t="shared" si="45"/>
        <v>26</v>
      </c>
      <c r="GC129">
        <f t="shared" si="45"/>
        <v>26</v>
      </c>
      <c r="GD129">
        <f t="shared" si="45"/>
        <v>26</v>
      </c>
      <c r="GE129">
        <f t="shared" si="45"/>
        <v>26</v>
      </c>
      <c r="GF129">
        <f t="shared" si="45"/>
        <v>26</v>
      </c>
      <c r="GG129">
        <f t="shared" si="45"/>
        <v>26</v>
      </c>
      <c r="GH129">
        <f t="shared" si="45"/>
        <v>22</v>
      </c>
      <c r="GI129">
        <f t="shared" si="45"/>
        <v>22</v>
      </c>
      <c r="GJ129">
        <f t="shared" si="45"/>
        <v>22</v>
      </c>
      <c r="GK129">
        <f t="shared" si="45"/>
        <v>22</v>
      </c>
      <c r="GL129">
        <f t="shared" si="45"/>
        <v>22</v>
      </c>
      <c r="GM129">
        <f t="shared" si="45"/>
        <v>26</v>
      </c>
      <c r="GN129">
        <f t="shared" si="45"/>
        <v>26</v>
      </c>
      <c r="GO129">
        <f t="shared" ref="GO129:IZ129" si="46">COUNTIF(GO60:GO85, "")</f>
        <v>22</v>
      </c>
      <c r="GP129">
        <f t="shared" si="46"/>
        <v>22</v>
      </c>
      <c r="GQ129">
        <f t="shared" si="46"/>
        <v>22</v>
      </c>
      <c r="GR129">
        <f t="shared" si="46"/>
        <v>22</v>
      </c>
      <c r="GS129">
        <f t="shared" si="46"/>
        <v>22</v>
      </c>
      <c r="GT129">
        <f t="shared" si="46"/>
        <v>26</v>
      </c>
      <c r="GU129">
        <f t="shared" si="46"/>
        <v>26</v>
      </c>
      <c r="GV129">
        <f t="shared" si="46"/>
        <v>22</v>
      </c>
      <c r="GW129">
        <f t="shared" si="46"/>
        <v>22</v>
      </c>
      <c r="GX129">
        <f t="shared" si="46"/>
        <v>22</v>
      </c>
      <c r="GY129">
        <f t="shared" si="46"/>
        <v>22</v>
      </c>
      <c r="GZ129">
        <f t="shared" si="46"/>
        <v>22</v>
      </c>
      <c r="HA129">
        <f t="shared" si="46"/>
        <v>26</v>
      </c>
      <c r="HB129">
        <f t="shared" si="46"/>
        <v>26</v>
      </c>
      <c r="HC129">
        <f t="shared" si="46"/>
        <v>21</v>
      </c>
      <c r="HD129">
        <f t="shared" si="46"/>
        <v>21</v>
      </c>
      <c r="HE129">
        <f t="shared" si="46"/>
        <v>21</v>
      </c>
      <c r="HF129">
        <f t="shared" si="46"/>
        <v>21</v>
      </c>
      <c r="HG129">
        <f t="shared" si="46"/>
        <v>21</v>
      </c>
      <c r="HH129">
        <f t="shared" si="46"/>
        <v>26</v>
      </c>
      <c r="HI129">
        <f t="shared" si="46"/>
        <v>26</v>
      </c>
      <c r="HJ129">
        <f t="shared" si="46"/>
        <v>21</v>
      </c>
      <c r="HK129">
        <f t="shared" si="46"/>
        <v>21</v>
      </c>
      <c r="HL129">
        <f t="shared" si="46"/>
        <v>21</v>
      </c>
      <c r="HM129">
        <f t="shared" si="46"/>
        <v>21</v>
      </c>
      <c r="HN129">
        <f t="shared" si="46"/>
        <v>21</v>
      </c>
      <c r="HO129">
        <f t="shared" si="46"/>
        <v>26</v>
      </c>
      <c r="HP129">
        <f t="shared" si="46"/>
        <v>26</v>
      </c>
      <c r="HQ129">
        <f t="shared" si="46"/>
        <v>22</v>
      </c>
      <c r="HR129">
        <f t="shared" si="46"/>
        <v>22</v>
      </c>
      <c r="HS129">
        <f t="shared" si="46"/>
        <v>22</v>
      </c>
      <c r="HT129">
        <f t="shared" si="46"/>
        <v>22</v>
      </c>
      <c r="HU129">
        <f t="shared" si="46"/>
        <v>22</v>
      </c>
      <c r="HV129">
        <f t="shared" si="46"/>
        <v>26</v>
      </c>
      <c r="HW129">
        <f t="shared" si="46"/>
        <v>26</v>
      </c>
      <c r="HX129">
        <f t="shared" si="46"/>
        <v>22</v>
      </c>
      <c r="HY129">
        <f t="shared" si="46"/>
        <v>22</v>
      </c>
      <c r="HZ129">
        <f t="shared" si="46"/>
        <v>22</v>
      </c>
      <c r="IA129">
        <f t="shared" si="46"/>
        <v>22</v>
      </c>
      <c r="IB129">
        <f t="shared" si="46"/>
        <v>22</v>
      </c>
      <c r="IC129">
        <f t="shared" si="46"/>
        <v>26</v>
      </c>
      <c r="ID129">
        <f t="shared" si="46"/>
        <v>26</v>
      </c>
      <c r="IE129">
        <f t="shared" si="46"/>
        <v>22</v>
      </c>
      <c r="IF129">
        <f t="shared" si="46"/>
        <v>22</v>
      </c>
      <c r="IG129">
        <f t="shared" si="46"/>
        <v>22</v>
      </c>
      <c r="IH129">
        <f t="shared" si="46"/>
        <v>22</v>
      </c>
      <c r="II129">
        <f t="shared" si="46"/>
        <v>22</v>
      </c>
      <c r="IJ129">
        <f t="shared" si="46"/>
        <v>26</v>
      </c>
      <c r="IK129">
        <f t="shared" si="46"/>
        <v>26</v>
      </c>
      <c r="IL129">
        <f t="shared" si="46"/>
        <v>22</v>
      </c>
      <c r="IM129">
        <f t="shared" si="46"/>
        <v>22</v>
      </c>
      <c r="IN129">
        <f t="shared" si="46"/>
        <v>22</v>
      </c>
      <c r="IO129">
        <f t="shared" si="46"/>
        <v>22</v>
      </c>
      <c r="IP129">
        <f t="shared" si="46"/>
        <v>22</v>
      </c>
      <c r="IQ129">
        <f t="shared" si="46"/>
        <v>26</v>
      </c>
      <c r="IR129">
        <f t="shared" si="46"/>
        <v>26</v>
      </c>
      <c r="IS129">
        <f t="shared" si="46"/>
        <v>21</v>
      </c>
      <c r="IT129">
        <f t="shared" si="46"/>
        <v>21</v>
      </c>
      <c r="IU129">
        <f t="shared" si="46"/>
        <v>21</v>
      </c>
      <c r="IV129">
        <f t="shared" si="46"/>
        <v>21</v>
      </c>
      <c r="IW129">
        <f t="shared" si="46"/>
        <v>21</v>
      </c>
      <c r="IX129">
        <f t="shared" si="46"/>
        <v>26</v>
      </c>
      <c r="IY129">
        <f t="shared" si="46"/>
        <v>26</v>
      </c>
      <c r="IZ129">
        <f t="shared" si="46"/>
        <v>21</v>
      </c>
      <c r="JA129">
        <f t="shared" ref="JA129:LL129" si="47">COUNTIF(JA60:JA85, "")</f>
        <v>21</v>
      </c>
      <c r="JB129">
        <f t="shared" si="47"/>
        <v>21</v>
      </c>
      <c r="JC129">
        <f t="shared" si="47"/>
        <v>21</v>
      </c>
      <c r="JD129">
        <f t="shared" si="47"/>
        <v>21</v>
      </c>
      <c r="JE129">
        <f t="shared" si="47"/>
        <v>26</v>
      </c>
      <c r="JF129">
        <f t="shared" si="47"/>
        <v>26</v>
      </c>
      <c r="JG129">
        <f t="shared" si="47"/>
        <v>22</v>
      </c>
      <c r="JH129">
        <f t="shared" si="47"/>
        <v>22</v>
      </c>
      <c r="JI129">
        <f t="shared" si="47"/>
        <v>22</v>
      </c>
      <c r="JJ129">
        <f t="shared" si="47"/>
        <v>22</v>
      </c>
      <c r="JK129">
        <f t="shared" si="47"/>
        <v>22</v>
      </c>
      <c r="JL129">
        <f t="shared" si="47"/>
        <v>26</v>
      </c>
      <c r="JM129">
        <f t="shared" si="47"/>
        <v>26</v>
      </c>
      <c r="JN129">
        <f t="shared" si="47"/>
        <v>22</v>
      </c>
      <c r="JO129">
        <f t="shared" si="47"/>
        <v>22</v>
      </c>
      <c r="JP129">
        <f t="shared" si="47"/>
        <v>22</v>
      </c>
      <c r="JQ129">
        <f t="shared" si="47"/>
        <v>22</v>
      </c>
      <c r="JR129">
        <f t="shared" si="47"/>
        <v>22</v>
      </c>
      <c r="JS129">
        <f t="shared" si="47"/>
        <v>26</v>
      </c>
      <c r="JT129">
        <f t="shared" si="47"/>
        <v>26</v>
      </c>
      <c r="JU129">
        <f t="shared" si="47"/>
        <v>22</v>
      </c>
      <c r="JV129">
        <f t="shared" si="47"/>
        <v>22</v>
      </c>
      <c r="JW129">
        <f t="shared" si="47"/>
        <v>22</v>
      </c>
      <c r="JX129">
        <f t="shared" si="47"/>
        <v>22</v>
      </c>
      <c r="JY129">
        <f t="shared" si="47"/>
        <v>22</v>
      </c>
      <c r="JZ129">
        <f t="shared" si="47"/>
        <v>26</v>
      </c>
      <c r="KA129">
        <f t="shared" si="47"/>
        <v>26</v>
      </c>
      <c r="KB129">
        <f t="shared" si="47"/>
        <v>22</v>
      </c>
      <c r="KC129">
        <f t="shared" si="47"/>
        <v>22</v>
      </c>
      <c r="KD129">
        <f t="shared" si="47"/>
        <v>22</v>
      </c>
      <c r="KE129">
        <f t="shared" si="47"/>
        <v>22</v>
      </c>
      <c r="KF129">
        <f t="shared" si="47"/>
        <v>22</v>
      </c>
      <c r="KG129">
        <f t="shared" si="47"/>
        <v>26</v>
      </c>
      <c r="KH129">
        <f t="shared" si="47"/>
        <v>26</v>
      </c>
      <c r="KI129">
        <f t="shared" si="47"/>
        <v>21</v>
      </c>
      <c r="KJ129">
        <f t="shared" si="47"/>
        <v>21</v>
      </c>
      <c r="KK129">
        <f t="shared" si="47"/>
        <v>21</v>
      </c>
      <c r="KL129">
        <f t="shared" si="47"/>
        <v>21</v>
      </c>
      <c r="KM129">
        <f t="shared" si="47"/>
        <v>21</v>
      </c>
      <c r="KN129">
        <f t="shared" si="47"/>
        <v>26</v>
      </c>
      <c r="KO129">
        <f t="shared" si="47"/>
        <v>26</v>
      </c>
      <c r="KP129">
        <f t="shared" si="47"/>
        <v>21</v>
      </c>
      <c r="KQ129">
        <f t="shared" si="47"/>
        <v>21</v>
      </c>
      <c r="KR129">
        <f t="shared" si="47"/>
        <v>21</v>
      </c>
      <c r="KS129">
        <f t="shared" si="47"/>
        <v>21</v>
      </c>
      <c r="KT129">
        <f t="shared" si="47"/>
        <v>21</v>
      </c>
      <c r="KU129">
        <f t="shared" si="47"/>
        <v>26</v>
      </c>
      <c r="KV129">
        <f t="shared" si="47"/>
        <v>26</v>
      </c>
      <c r="KW129">
        <f t="shared" si="47"/>
        <v>22</v>
      </c>
      <c r="KX129">
        <f t="shared" si="47"/>
        <v>22</v>
      </c>
      <c r="KY129">
        <f t="shared" si="47"/>
        <v>22</v>
      </c>
      <c r="KZ129">
        <f t="shared" si="47"/>
        <v>22</v>
      </c>
      <c r="LA129">
        <f t="shared" si="47"/>
        <v>22</v>
      </c>
      <c r="LB129">
        <f t="shared" si="47"/>
        <v>26</v>
      </c>
      <c r="LC129">
        <f t="shared" si="47"/>
        <v>26</v>
      </c>
      <c r="LD129">
        <f t="shared" si="47"/>
        <v>22</v>
      </c>
      <c r="LE129">
        <f t="shared" si="47"/>
        <v>22</v>
      </c>
      <c r="LF129">
        <f t="shared" si="47"/>
        <v>22</v>
      </c>
      <c r="LG129">
        <f t="shared" si="47"/>
        <v>22</v>
      </c>
      <c r="LH129">
        <f t="shared" si="47"/>
        <v>22</v>
      </c>
      <c r="LI129">
        <f t="shared" si="47"/>
        <v>26</v>
      </c>
      <c r="LJ129">
        <f t="shared" si="47"/>
        <v>26</v>
      </c>
      <c r="LK129">
        <f t="shared" si="47"/>
        <v>22</v>
      </c>
      <c r="LL129">
        <f t="shared" si="47"/>
        <v>22</v>
      </c>
      <c r="LM129">
        <f t="shared" ref="LM129:NC129" si="48">COUNTIF(LM60:LM85, "")</f>
        <v>22</v>
      </c>
      <c r="LN129">
        <f t="shared" si="48"/>
        <v>22</v>
      </c>
      <c r="LO129">
        <f t="shared" si="48"/>
        <v>22</v>
      </c>
      <c r="LP129">
        <f t="shared" si="48"/>
        <v>26</v>
      </c>
      <c r="LQ129">
        <f t="shared" si="48"/>
        <v>26</v>
      </c>
      <c r="LR129">
        <f t="shared" si="48"/>
        <v>22</v>
      </c>
      <c r="LS129">
        <f t="shared" si="48"/>
        <v>22</v>
      </c>
      <c r="LT129">
        <f t="shared" si="48"/>
        <v>22</v>
      </c>
      <c r="LU129">
        <f t="shared" si="48"/>
        <v>22</v>
      </c>
      <c r="LV129">
        <f t="shared" si="48"/>
        <v>22</v>
      </c>
      <c r="LW129">
        <f t="shared" si="48"/>
        <v>26</v>
      </c>
      <c r="LX129">
        <f t="shared" si="48"/>
        <v>26</v>
      </c>
      <c r="LY129">
        <f t="shared" si="48"/>
        <v>21</v>
      </c>
      <c r="LZ129">
        <f t="shared" si="48"/>
        <v>21</v>
      </c>
      <c r="MA129">
        <f t="shared" si="48"/>
        <v>21</v>
      </c>
      <c r="MB129">
        <f t="shared" si="48"/>
        <v>21</v>
      </c>
      <c r="MC129">
        <f t="shared" si="48"/>
        <v>21</v>
      </c>
      <c r="MD129">
        <f t="shared" si="48"/>
        <v>26</v>
      </c>
      <c r="ME129">
        <f t="shared" si="48"/>
        <v>26</v>
      </c>
      <c r="MF129">
        <f t="shared" si="48"/>
        <v>21</v>
      </c>
      <c r="MG129">
        <f t="shared" si="48"/>
        <v>21</v>
      </c>
      <c r="MH129">
        <f t="shared" si="48"/>
        <v>21</v>
      </c>
      <c r="MI129">
        <f t="shared" si="48"/>
        <v>21</v>
      </c>
      <c r="MJ129">
        <f t="shared" si="48"/>
        <v>21</v>
      </c>
      <c r="MK129">
        <f t="shared" si="48"/>
        <v>26</v>
      </c>
      <c r="ML129">
        <f t="shared" si="48"/>
        <v>26</v>
      </c>
      <c r="MM129">
        <f t="shared" si="48"/>
        <v>22</v>
      </c>
      <c r="MN129">
        <f t="shared" si="48"/>
        <v>22</v>
      </c>
      <c r="MO129">
        <f t="shared" si="48"/>
        <v>22</v>
      </c>
      <c r="MP129">
        <f t="shared" si="48"/>
        <v>22</v>
      </c>
      <c r="MQ129">
        <f t="shared" si="48"/>
        <v>22</v>
      </c>
      <c r="MR129">
        <f t="shared" si="48"/>
        <v>26</v>
      </c>
      <c r="MS129">
        <f t="shared" si="48"/>
        <v>26</v>
      </c>
      <c r="MT129">
        <f t="shared" si="48"/>
        <v>22</v>
      </c>
      <c r="MU129">
        <f t="shared" si="48"/>
        <v>22</v>
      </c>
      <c r="MV129">
        <f t="shared" si="48"/>
        <v>22</v>
      </c>
      <c r="MW129">
        <f t="shared" si="48"/>
        <v>22</v>
      </c>
      <c r="MX129">
        <f t="shared" si="48"/>
        <v>22</v>
      </c>
      <c r="MY129">
        <f t="shared" si="48"/>
        <v>26</v>
      </c>
      <c r="MZ129">
        <f t="shared" si="48"/>
        <v>26</v>
      </c>
      <c r="NA129">
        <f t="shared" si="48"/>
        <v>26</v>
      </c>
      <c r="NB129">
        <f t="shared" si="48"/>
        <v>26</v>
      </c>
      <c r="NC129">
        <f t="shared" si="48"/>
        <v>26</v>
      </c>
    </row>
    <row r="130" spans="1:367">
      <c r="A130" t="s">
        <v>126</v>
      </c>
      <c r="C130">
        <f>COUNTIF(C86:C90, "")</f>
        <v>5</v>
      </c>
      <c r="D130">
        <f>COUNTIF(D86:D90, "")</f>
        <v>5</v>
      </c>
      <c r="E130">
        <f t="shared" ref="E130:BP130" si="49">COUNTIF(E86:E90, "")</f>
        <v>5</v>
      </c>
      <c r="F130">
        <f t="shared" si="49"/>
        <v>5</v>
      </c>
      <c r="G130">
        <f t="shared" si="49"/>
        <v>5</v>
      </c>
      <c r="H130">
        <f t="shared" si="49"/>
        <v>5</v>
      </c>
      <c r="I130">
        <f t="shared" si="49"/>
        <v>5</v>
      </c>
      <c r="J130">
        <f t="shared" si="49"/>
        <v>5</v>
      </c>
      <c r="K130">
        <f t="shared" si="49"/>
        <v>5</v>
      </c>
      <c r="L130">
        <f t="shared" si="49"/>
        <v>5</v>
      </c>
      <c r="M130">
        <f t="shared" si="49"/>
        <v>5</v>
      </c>
      <c r="N130">
        <f t="shared" si="49"/>
        <v>5</v>
      </c>
      <c r="O130">
        <f t="shared" si="49"/>
        <v>5</v>
      </c>
      <c r="P130">
        <f t="shared" si="49"/>
        <v>5</v>
      </c>
      <c r="Q130">
        <f t="shared" si="49"/>
        <v>5</v>
      </c>
      <c r="R130">
        <f t="shared" si="49"/>
        <v>5</v>
      </c>
      <c r="S130">
        <f t="shared" si="49"/>
        <v>5</v>
      </c>
      <c r="T130">
        <f t="shared" si="49"/>
        <v>5</v>
      </c>
      <c r="U130">
        <f t="shared" si="49"/>
        <v>5</v>
      </c>
      <c r="V130">
        <f t="shared" si="49"/>
        <v>5</v>
      </c>
      <c r="W130">
        <f t="shared" si="49"/>
        <v>5</v>
      </c>
      <c r="X130">
        <f t="shared" si="49"/>
        <v>5</v>
      </c>
      <c r="Y130">
        <f t="shared" si="49"/>
        <v>5</v>
      </c>
      <c r="Z130">
        <f t="shared" si="49"/>
        <v>5</v>
      </c>
      <c r="AA130">
        <f t="shared" si="49"/>
        <v>5</v>
      </c>
      <c r="AB130">
        <f t="shared" si="49"/>
        <v>5</v>
      </c>
      <c r="AC130">
        <f t="shared" si="49"/>
        <v>5</v>
      </c>
      <c r="AD130">
        <f t="shared" si="49"/>
        <v>5</v>
      </c>
      <c r="AE130">
        <f t="shared" si="49"/>
        <v>5</v>
      </c>
      <c r="AF130">
        <f t="shared" si="49"/>
        <v>5</v>
      </c>
      <c r="AG130">
        <f t="shared" si="49"/>
        <v>5</v>
      </c>
      <c r="AH130">
        <f t="shared" si="49"/>
        <v>5</v>
      </c>
      <c r="AI130">
        <f t="shared" si="49"/>
        <v>5</v>
      </c>
      <c r="AJ130">
        <f t="shared" si="49"/>
        <v>5</v>
      </c>
      <c r="AK130">
        <f t="shared" si="49"/>
        <v>5</v>
      </c>
      <c r="AL130">
        <f t="shared" si="49"/>
        <v>5</v>
      </c>
      <c r="AM130">
        <f t="shared" si="49"/>
        <v>5</v>
      </c>
      <c r="AN130">
        <f t="shared" si="49"/>
        <v>5</v>
      </c>
      <c r="AO130">
        <f t="shared" si="49"/>
        <v>5</v>
      </c>
      <c r="AP130">
        <f t="shared" si="49"/>
        <v>5</v>
      </c>
      <c r="AQ130">
        <f t="shared" si="49"/>
        <v>5</v>
      </c>
      <c r="AR130">
        <f t="shared" si="49"/>
        <v>5</v>
      </c>
      <c r="AS130">
        <f t="shared" si="49"/>
        <v>5</v>
      </c>
      <c r="AT130">
        <f t="shared" si="49"/>
        <v>5</v>
      </c>
      <c r="AU130">
        <f t="shared" si="49"/>
        <v>5</v>
      </c>
      <c r="AV130">
        <f t="shared" si="49"/>
        <v>5</v>
      </c>
      <c r="AW130">
        <f t="shared" si="49"/>
        <v>5</v>
      </c>
      <c r="AX130">
        <f t="shared" si="49"/>
        <v>5</v>
      </c>
      <c r="AY130">
        <f t="shared" si="49"/>
        <v>5</v>
      </c>
      <c r="AZ130">
        <f t="shared" si="49"/>
        <v>5</v>
      </c>
      <c r="BA130">
        <f t="shared" si="49"/>
        <v>5</v>
      </c>
      <c r="BB130">
        <f t="shared" si="49"/>
        <v>5</v>
      </c>
      <c r="BC130">
        <f t="shared" si="49"/>
        <v>5</v>
      </c>
      <c r="BD130">
        <f t="shared" si="49"/>
        <v>5</v>
      </c>
      <c r="BE130">
        <f t="shared" si="49"/>
        <v>5</v>
      </c>
      <c r="BF130">
        <f t="shared" si="49"/>
        <v>5</v>
      </c>
      <c r="BG130">
        <f t="shared" si="49"/>
        <v>5</v>
      </c>
      <c r="BH130">
        <f t="shared" si="49"/>
        <v>5</v>
      </c>
      <c r="BI130">
        <f t="shared" si="49"/>
        <v>5</v>
      </c>
      <c r="BJ130">
        <f t="shared" si="49"/>
        <v>5</v>
      </c>
      <c r="BK130">
        <f t="shared" si="49"/>
        <v>5</v>
      </c>
      <c r="BL130">
        <f t="shared" si="49"/>
        <v>5</v>
      </c>
      <c r="BM130">
        <f t="shared" si="49"/>
        <v>5</v>
      </c>
      <c r="BN130">
        <f t="shared" si="49"/>
        <v>5</v>
      </c>
      <c r="BO130">
        <f t="shared" si="49"/>
        <v>5</v>
      </c>
      <c r="BP130">
        <f t="shared" si="49"/>
        <v>5</v>
      </c>
      <c r="BQ130">
        <f t="shared" ref="BQ130:EB130" si="50">COUNTIF(BQ86:BQ90, "")</f>
        <v>5</v>
      </c>
      <c r="BR130">
        <f t="shared" si="50"/>
        <v>5</v>
      </c>
      <c r="BS130">
        <f t="shared" si="50"/>
        <v>5</v>
      </c>
      <c r="BT130">
        <f t="shared" si="50"/>
        <v>5</v>
      </c>
      <c r="BU130">
        <f t="shared" si="50"/>
        <v>5</v>
      </c>
      <c r="BV130">
        <f t="shared" si="50"/>
        <v>5</v>
      </c>
      <c r="BW130">
        <f t="shared" si="50"/>
        <v>5</v>
      </c>
      <c r="BX130">
        <f t="shared" si="50"/>
        <v>5</v>
      </c>
      <c r="BY130">
        <f t="shared" si="50"/>
        <v>5</v>
      </c>
      <c r="BZ130">
        <f t="shared" si="50"/>
        <v>5</v>
      </c>
      <c r="CA130">
        <f t="shared" si="50"/>
        <v>5</v>
      </c>
      <c r="CB130">
        <f t="shared" si="50"/>
        <v>5</v>
      </c>
      <c r="CC130">
        <f t="shared" si="50"/>
        <v>5</v>
      </c>
      <c r="CD130">
        <f t="shared" si="50"/>
        <v>5</v>
      </c>
      <c r="CE130">
        <f t="shared" si="50"/>
        <v>5</v>
      </c>
      <c r="CF130">
        <f t="shared" si="50"/>
        <v>5</v>
      </c>
      <c r="CG130">
        <f t="shared" si="50"/>
        <v>5</v>
      </c>
      <c r="CH130">
        <f t="shared" si="50"/>
        <v>5</v>
      </c>
      <c r="CI130">
        <f t="shared" si="50"/>
        <v>5</v>
      </c>
      <c r="CJ130">
        <f t="shared" si="50"/>
        <v>5</v>
      </c>
      <c r="CK130">
        <f t="shared" si="50"/>
        <v>5</v>
      </c>
      <c r="CL130">
        <f t="shared" si="50"/>
        <v>5</v>
      </c>
      <c r="CM130">
        <f t="shared" si="50"/>
        <v>5</v>
      </c>
      <c r="CN130">
        <f t="shared" si="50"/>
        <v>5</v>
      </c>
      <c r="CO130">
        <f t="shared" si="50"/>
        <v>5</v>
      </c>
      <c r="CP130">
        <f t="shared" si="50"/>
        <v>5</v>
      </c>
      <c r="CQ130">
        <f t="shared" si="50"/>
        <v>5</v>
      </c>
      <c r="CR130">
        <f t="shared" si="50"/>
        <v>5</v>
      </c>
      <c r="CS130">
        <f t="shared" si="50"/>
        <v>5</v>
      </c>
      <c r="CT130">
        <f t="shared" si="50"/>
        <v>5</v>
      </c>
      <c r="CU130">
        <f t="shared" si="50"/>
        <v>5</v>
      </c>
      <c r="CV130">
        <f t="shared" si="50"/>
        <v>5</v>
      </c>
      <c r="CW130">
        <f t="shared" si="50"/>
        <v>5</v>
      </c>
      <c r="CX130">
        <f t="shared" si="50"/>
        <v>5</v>
      </c>
      <c r="CY130">
        <f t="shared" si="50"/>
        <v>5</v>
      </c>
      <c r="CZ130">
        <f t="shared" si="50"/>
        <v>5</v>
      </c>
      <c r="DA130">
        <f t="shared" si="50"/>
        <v>5</v>
      </c>
      <c r="DB130">
        <f t="shared" si="50"/>
        <v>5</v>
      </c>
      <c r="DC130">
        <f t="shared" si="50"/>
        <v>5</v>
      </c>
      <c r="DD130">
        <f t="shared" si="50"/>
        <v>5</v>
      </c>
      <c r="DE130">
        <f t="shared" si="50"/>
        <v>5</v>
      </c>
      <c r="DF130">
        <f t="shared" si="50"/>
        <v>5</v>
      </c>
      <c r="DG130">
        <f t="shared" si="50"/>
        <v>5</v>
      </c>
      <c r="DH130">
        <f t="shared" si="50"/>
        <v>5</v>
      </c>
      <c r="DI130">
        <f t="shared" si="50"/>
        <v>5</v>
      </c>
      <c r="DJ130">
        <f t="shared" si="50"/>
        <v>5</v>
      </c>
      <c r="DK130">
        <f t="shared" si="50"/>
        <v>5</v>
      </c>
      <c r="DL130">
        <f t="shared" si="50"/>
        <v>5</v>
      </c>
      <c r="DM130">
        <f t="shared" si="50"/>
        <v>5</v>
      </c>
      <c r="DN130">
        <f t="shared" si="50"/>
        <v>5</v>
      </c>
      <c r="DO130">
        <f t="shared" si="50"/>
        <v>5</v>
      </c>
      <c r="DP130">
        <f t="shared" si="50"/>
        <v>5</v>
      </c>
      <c r="DQ130">
        <f t="shared" si="50"/>
        <v>5</v>
      </c>
      <c r="DR130">
        <f t="shared" si="50"/>
        <v>5</v>
      </c>
      <c r="DS130">
        <f t="shared" si="50"/>
        <v>5</v>
      </c>
      <c r="DT130">
        <f t="shared" si="50"/>
        <v>5</v>
      </c>
      <c r="DU130">
        <f t="shared" si="50"/>
        <v>5</v>
      </c>
      <c r="DV130">
        <f t="shared" si="50"/>
        <v>5</v>
      </c>
      <c r="DW130">
        <f t="shared" si="50"/>
        <v>5</v>
      </c>
      <c r="DX130">
        <f t="shared" si="50"/>
        <v>5</v>
      </c>
      <c r="DY130">
        <f t="shared" si="50"/>
        <v>5</v>
      </c>
      <c r="DZ130">
        <f t="shared" si="50"/>
        <v>5</v>
      </c>
      <c r="EA130">
        <f t="shared" si="50"/>
        <v>5</v>
      </c>
      <c r="EB130">
        <f t="shared" si="50"/>
        <v>5</v>
      </c>
      <c r="EC130">
        <f t="shared" ref="EC130:GN130" si="51">COUNTIF(EC86:EC90, "")</f>
        <v>5</v>
      </c>
      <c r="ED130">
        <f t="shared" si="51"/>
        <v>5</v>
      </c>
      <c r="EE130">
        <f t="shared" si="51"/>
        <v>5</v>
      </c>
      <c r="EF130">
        <f t="shared" si="51"/>
        <v>5</v>
      </c>
      <c r="EG130">
        <f t="shared" si="51"/>
        <v>5</v>
      </c>
      <c r="EH130">
        <f t="shared" si="51"/>
        <v>5</v>
      </c>
      <c r="EI130">
        <f t="shared" si="51"/>
        <v>5</v>
      </c>
      <c r="EJ130">
        <f t="shared" si="51"/>
        <v>5</v>
      </c>
      <c r="EK130">
        <f t="shared" si="51"/>
        <v>5</v>
      </c>
      <c r="EL130">
        <f t="shared" si="51"/>
        <v>5</v>
      </c>
      <c r="EM130">
        <f t="shared" si="51"/>
        <v>5</v>
      </c>
      <c r="EN130">
        <f t="shared" si="51"/>
        <v>5</v>
      </c>
      <c r="EO130">
        <f t="shared" si="51"/>
        <v>5</v>
      </c>
      <c r="EP130">
        <f t="shared" si="51"/>
        <v>5</v>
      </c>
      <c r="EQ130">
        <f t="shared" si="51"/>
        <v>5</v>
      </c>
      <c r="ER130">
        <f t="shared" si="51"/>
        <v>5</v>
      </c>
      <c r="ES130">
        <f t="shared" si="51"/>
        <v>5</v>
      </c>
      <c r="ET130">
        <f t="shared" si="51"/>
        <v>5</v>
      </c>
      <c r="EU130">
        <f t="shared" si="51"/>
        <v>5</v>
      </c>
      <c r="EV130">
        <f t="shared" si="51"/>
        <v>5</v>
      </c>
      <c r="EW130">
        <f t="shared" si="51"/>
        <v>5</v>
      </c>
      <c r="EX130">
        <f t="shared" si="51"/>
        <v>5</v>
      </c>
      <c r="EY130">
        <f t="shared" si="51"/>
        <v>5</v>
      </c>
      <c r="EZ130">
        <f t="shared" si="51"/>
        <v>5</v>
      </c>
      <c r="FA130">
        <f t="shared" si="51"/>
        <v>5</v>
      </c>
      <c r="FB130">
        <f t="shared" si="51"/>
        <v>5</v>
      </c>
      <c r="FC130">
        <f t="shared" si="51"/>
        <v>5</v>
      </c>
      <c r="FD130">
        <f t="shared" si="51"/>
        <v>5</v>
      </c>
      <c r="FE130">
        <f t="shared" si="51"/>
        <v>5</v>
      </c>
      <c r="FF130">
        <f t="shared" si="51"/>
        <v>5</v>
      </c>
      <c r="FG130">
        <f t="shared" si="51"/>
        <v>5</v>
      </c>
      <c r="FH130">
        <f t="shared" si="51"/>
        <v>5</v>
      </c>
      <c r="FI130">
        <f t="shared" si="51"/>
        <v>5</v>
      </c>
      <c r="FJ130">
        <f t="shared" si="51"/>
        <v>5</v>
      </c>
      <c r="FK130">
        <f t="shared" si="51"/>
        <v>5</v>
      </c>
      <c r="FL130">
        <f t="shared" si="51"/>
        <v>5</v>
      </c>
      <c r="FM130">
        <f t="shared" si="51"/>
        <v>5</v>
      </c>
      <c r="FN130">
        <f t="shared" si="51"/>
        <v>5</v>
      </c>
      <c r="FO130">
        <f t="shared" si="51"/>
        <v>5</v>
      </c>
      <c r="FP130">
        <f t="shared" si="51"/>
        <v>5</v>
      </c>
      <c r="FQ130">
        <f t="shared" si="51"/>
        <v>5</v>
      </c>
      <c r="FR130">
        <f t="shared" si="51"/>
        <v>5</v>
      </c>
      <c r="FS130">
        <f t="shared" si="51"/>
        <v>5</v>
      </c>
      <c r="FT130">
        <f t="shared" si="51"/>
        <v>5</v>
      </c>
      <c r="FU130">
        <f t="shared" si="51"/>
        <v>5</v>
      </c>
      <c r="FV130">
        <f t="shared" si="51"/>
        <v>5</v>
      </c>
      <c r="FW130">
        <f t="shared" si="51"/>
        <v>5</v>
      </c>
      <c r="FX130">
        <f t="shared" si="51"/>
        <v>5</v>
      </c>
      <c r="FY130">
        <f t="shared" si="51"/>
        <v>5</v>
      </c>
      <c r="FZ130">
        <f t="shared" si="51"/>
        <v>5</v>
      </c>
      <c r="GA130">
        <f t="shared" si="51"/>
        <v>5</v>
      </c>
      <c r="GB130">
        <f t="shared" si="51"/>
        <v>5</v>
      </c>
      <c r="GC130">
        <f t="shared" si="51"/>
        <v>5</v>
      </c>
      <c r="GD130">
        <f t="shared" si="51"/>
        <v>5</v>
      </c>
      <c r="GE130">
        <f t="shared" si="51"/>
        <v>5</v>
      </c>
      <c r="GF130">
        <f t="shared" si="51"/>
        <v>5</v>
      </c>
      <c r="GG130">
        <f t="shared" si="51"/>
        <v>5</v>
      </c>
      <c r="GH130">
        <f t="shared" si="51"/>
        <v>5</v>
      </c>
      <c r="GI130">
        <f t="shared" si="51"/>
        <v>5</v>
      </c>
      <c r="GJ130">
        <f t="shared" si="51"/>
        <v>5</v>
      </c>
      <c r="GK130">
        <f t="shared" si="51"/>
        <v>5</v>
      </c>
      <c r="GL130">
        <f t="shared" si="51"/>
        <v>5</v>
      </c>
      <c r="GM130">
        <f t="shared" si="51"/>
        <v>5</v>
      </c>
      <c r="GN130">
        <f t="shared" si="51"/>
        <v>5</v>
      </c>
      <c r="GO130">
        <f t="shared" ref="GO130:IZ130" si="52">COUNTIF(GO86:GO90, "")</f>
        <v>5</v>
      </c>
      <c r="GP130">
        <f t="shared" si="52"/>
        <v>5</v>
      </c>
      <c r="GQ130">
        <f t="shared" si="52"/>
        <v>5</v>
      </c>
      <c r="GR130">
        <f t="shared" si="52"/>
        <v>5</v>
      </c>
      <c r="GS130">
        <f t="shared" si="52"/>
        <v>5</v>
      </c>
      <c r="GT130">
        <f t="shared" si="52"/>
        <v>5</v>
      </c>
      <c r="GU130">
        <f t="shared" si="52"/>
        <v>5</v>
      </c>
      <c r="GV130">
        <f t="shared" si="52"/>
        <v>5</v>
      </c>
      <c r="GW130">
        <f t="shared" si="52"/>
        <v>5</v>
      </c>
      <c r="GX130">
        <f t="shared" si="52"/>
        <v>5</v>
      </c>
      <c r="GY130">
        <f t="shared" si="52"/>
        <v>5</v>
      </c>
      <c r="GZ130">
        <f t="shared" si="52"/>
        <v>5</v>
      </c>
      <c r="HA130">
        <f t="shared" si="52"/>
        <v>5</v>
      </c>
      <c r="HB130">
        <f t="shared" si="52"/>
        <v>5</v>
      </c>
      <c r="HC130">
        <f t="shared" si="52"/>
        <v>5</v>
      </c>
      <c r="HD130">
        <f t="shared" si="52"/>
        <v>5</v>
      </c>
      <c r="HE130">
        <f t="shared" si="52"/>
        <v>5</v>
      </c>
      <c r="HF130">
        <f t="shared" si="52"/>
        <v>5</v>
      </c>
      <c r="HG130">
        <f t="shared" si="52"/>
        <v>5</v>
      </c>
      <c r="HH130">
        <f t="shared" si="52"/>
        <v>5</v>
      </c>
      <c r="HI130">
        <f t="shared" si="52"/>
        <v>5</v>
      </c>
      <c r="HJ130">
        <f t="shared" si="52"/>
        <v>5</v>
      </c>
      <c r="HK130">
        <f t="shared" si="52"/>
        <v>5</v>
      </c>
      <c r="HL130">
        <f t="shared" si="52"/>
        <v>5</v>
      </c>
      <c r="HM130">
        <f t="shared" si="52"/>
        <v>5</v>
      </c>
      <c r="HN130">
        <f t="shared" si="52"/>
        <v>5</v>
      </c>
      <c r="HO130">
        <f t="shared" si="52"/>
        <v>5</v>
      </c>
      <c r="HP130">
        <f t="shared" si="52"/>
        <v>5</v>
      </c>
      <c r="HQ130">
        <f t="shared" si="52"/>
        <v>5</v>
      </c>
      <c r="HR130">
        <f t="shared" si="52"/>
        <v>5</v>
      </c>
      <c r="HS130">
        <f t="shared" si="52"/>
        <v>5</v>
      </c>
      <c r="HT130">
        <f t="shared" si="52"/>
        <v>5</v>
      </c>
      <c r="HU130">
        <f t="shared" si="52"/>
        <v>5</v>
      </c>
      <c r="HV130">
        <f t="shared" si="52"/>
        <v>5</v>
      </c>
      <c r="HW130">
        <f t="shared" si="52"/>
        <v>5</v>
      </c>
      <c r="HX130">
        <f t="shared" si="52"/>
        <v>5</v>
      </c>
      <c r="HY130">
        <f t="shared" si="52"/>
        <v>5</v>
      </c>
      <c r="HZ130">
        <f t="shared" si="52"/>
        <v>5</v>
      </c>
      <c r="IA130">
        <f t="shared" si="52"/>
        <v>5</v>
      </c>
      <c r="IB130">
        <f t="shared" si="52"/>
        <v>5</v>
      </c>
      <c r="IC130">
        <f t="shared" si="52"/>
        <v>5</v>
      </c>
      <c r="ID130">
        <f t="shared" si="52"/>
        <v>5</v>
      </c>
      <c r="IE130">
        <f t="shared" si="52"/>
        <v>5</v>
      </c>
      <c r="IF130">
        <f t="shared" si="52"/>
        <v>5</v>
      </c>
      <c r="IG130">
        <f t="shared" si="52"/>
        <v>5</v>
      </c>
      <c r="IH130">
        <f t="shared" si="52"/>
        <v>5</v>
      </c>
      <c r="II130">
        <f t="shared" si="52"/>
        <v>5</v>
      </c>
      <c r="IJ130">
        <f t="shared" si="52"/>
        <v>5</v>
      </c>
      <c r="IK130">
        <f t="shared" si="52"/>
        <v>5</v>
      </c>
      <c r="IL130">
        <f t="shared" si="52"/>
        <v>5</v>
      </c>
      <c r="IM130">
        <f t="shared" si="52"/>
        <v>5</v>
      </c>
      <c r="IN130">
        <f t="shared" si="52"/>
        <v>5</v>
      </c>
      <c r="IO130">
        <f t="shared" si="52"/>
        <v>5</v>
      </c>
      <c r="IP130">
        <f t="shared" si="52"/>
        <v>5</v>
      </c>
      <c r="IQ130">
        <f t="shared" si="52"/>
        <v>5</v>
      </c>
      <c r="IR130">
        <f t="shared" si="52"/>
        <v>5</v>
      </c>
      <c r="IS130">
        <f t="shared" si="52"/>
        <v>5</v>
      </c>
      <c r="IT130">
        <f t="shared" si="52"/>
        <v>5</v>
      </c>
      <c r="IU130">
        <f t="shared" si="52"/>
        <v>5</v>
      </c>
      <c r="IV130">
        <f t="shared" si="52"/>
        <v>5</v>
      </c>
      <c r="IW130">
        <f t="shared" si="52"/>
        <v>5</v>
      </c>
      <c r="IX130">
        <f t="shared" si="52"/>
        <v>5</v>
      </c>
      <c r="IY130">
        <f t="shared" si="52"/>
        <v>5</v>
      </c>
      <c r="IZ130">
        <f t="shared" si="52"/>
        <v>5</v>
      </c>
      <c r="JA130">
        <f t="shared" ref="JA130:LL130" si="53">COUNTIF(JA86:JA90, "")</f>
        <v>5</v>
      </c>
      <c r="JB130">
        <f t="shared" si="53"/>
        <v>5</v>
      </c>
      <c r="JC130">
        <f t="shared" si="53"/>
        <v>5</v>
      </c>
      <c r="JD130">
        <f t="shared" si="53"/>
        <v>5</v>
      </c>
      <c r="JE130">
        <f t="shared" si="53"/>
        <v>5</v>
      </c>
      <c r="JF130">
        <f t="shared" si="53"/>
        <v>5</v>
      </c>
      <c r="JG130">
        <f t="shared" si="53"/>
        <v>5</v>
      </c>
      <c r="JH130">
        <f t="shared" si="53"/>
        <v>5</v>
      </c>
      <c r="JI130">
        <f t="shared" si="53"/>
        <v>5</v>
      </c>
      <c r="JJ130">
        <f t="shared" si="53"/>
        <v>5</v>
      </c>
      <c r="JK130">
        <f t="shared" si="53"/>
        <v>5</v>
      </c>
      <c r="JL130">
        <f t="shared" si="53"/>
        <v>5</v>
      </c>
      <c r="JM130">
        <f t="shared" si="53"/>
        <v>5</v>
      </c>
      <c r="JN130">
        <f t="shared" si="53"/>
        <v>5</v>
      </c>
      <c r="JO130">
        <f t="shared" si="53"/>
        <v>5</v>
      </c>
      <c r="JP130">
        <f t="shared" si="53"/>
        <v>5</v>
      </c>
      <c r="JQ130">
        <f t="shared" si="53"/>
        <v>5</v>
      </c>
      <c r="JR130">
        <f t="shared" si="53"/>
        <v>5</v>
      </c>
      <c r="JS130">
        <f t="shared" si="53"/>
        <v>5</v>
      </c>
      <c r="JT130">
        <f t="shared" si="53"/>
        <v>5</v>
      </c>
      <c r="JU130">
        <f t="shared" si="53"/>
        <v>5</v>
      </c>
      <c r="JV130">
        <f t="shared" si="53"/>
        <v>5</v>
      </c>
      <c r="JW130">
        <f t="shared" si="53"/>
        <v>5</v>
      </c>
      <c r="JX130">
        <f t="shared" si="53"/>
        <v>5</v>
      </c>
      <c r="JY130">
        <f t="shared" si="53"/>
        <v>5</v>
      </c>
      <c r="JZ130">
        <f t="shared" si="53"/>
        <v>5</v>
      </c>
      <c r="KA130">
        <f t="shared" si="53"/>
        <v>5</v>
      </c>
      <c r="KB130">
        <f t="shared" si="53"/>
        <v>5</v>
      </c>
      <c r="KC130">
        <f t="shared" si="53"/>
        <v>5</v>
      </c>
      <c r="KD130">
        <f t="shared" si="53"/>
        <v>5</v>
      </c>
      <c r="KE130">
        <f t="shared" si="53"/>
        <v>5</v>
      </c>
      <c r="KF130">
        <f t="shared" si="53"/>
        <v>5</v>
      </c>
      <c r="KG130">
        <f t="shared" si="53"/>
        <v>5</v>
      </c>
      <c r="KH130">
        <f t="shared" si="53"/>
        <v>5</v>
      </c>
      <c r="KI130">
        <f t="shared" si="53"/>
        <v>5</v>
      </c>
      <c r="KJ130">
        <f t="shared" si="53"/>
        <v>5</v>
      </c>
      <c r="KK130">
        <f t="shared" si="53"/>
        <v>5</v>
      </c>
      <c r="KL130">
        <f t="shared" si="53"/>
        <v>5</v>
      </c>
      <c r="KM130">
        <f t="shared" si="53"/>
        <v>5</v>
      </c>
      <c r="KN130">
        <f t="shared" si="53"/>
        <v>5</v>
      </c>
      <c r="KO130">
        <f t="shared" si="53"/>
        <v>5</v>
      </c>
      <c r="KP130">
        <f t="shared" si="53"/>
        <v>5</v>
      </c>
      <c r="KQ130">
        <f t="shared" si="53"/>
        <v>5</v>
      </c>
      <c r="KR130">
        <f t="shared" si="53"/>
        <v>5</v>
      </c>
      <c r="KS130">
        <f t="shared" si="53"/>
        <v>5</v>
      </c>
      <c r="KT130">
        <f t="shared" si="53"/>
        <v>5</v>
      </c>
      <c r="KU130">
        <f t="shared" si="53"/>
        <v>5</v>
      </c>
      <c r="KV130">
        <f t="shared" si="53"/>
        <v>5</v>
      </c>
      <c r="KW130">
        <f t="shared" si="53"/>
        <v>5</v>
      </c>
      <c r="KX130">
        <f t="shared" si="53"/>
        <v>5</v>
      </c>
      <c r="KY130">
        <f t="shared" si="53"/>
        <v>5</v>
      </c>
      <c r="KZ130">
        <f t="shared" si="53"/>
        <v>5</v>
      </c>
      <c r="LA130">
        <f t="shared" si="53"/>
        <v>5</v>
      </c>
      <c r="LB130">
        <f t="shared" si="53"/>
        <v>5</v>
      </c>
      <c r="LC130">
        <f t="shared" si="53"/>
        <v>5</v>
      </c>
      <c r="LD130">
        <f t="shared" si="53"/>
        <v>5</v>
      </c>
      <c r="LE130">
        <f t="shared" si="53"/>
        <v>5</v>
      </c>
      <c r="LF130">
        <f t="shared" si="53"/>
        <v>5</v>
      </c>
      <c r="LG130">
        <f t="shared" si="53"/>
        <v>5</v>
      </c>
      <c r="LH130">
        <f t="shared" si="53"/>
        <v>5</v>
      </c>
      <c r="LI130">
        <f t="shared" si="53"/>
        <v>5</v>
      </c>
      <c r="LJ130">
        <f t="shared" si="53"/>
        <v>5</v>
      </c>
      <c r="LK130">
        <f t="shared" si="53"/>
        <v>5</v>
      </c>
      <c r="LL130">
        <f t="shared" si="53"/>
        <v>5</v>
      </c>
      <c r="LM130">
        <f t="shared" ref="LM130:NC130" si="54">COUNTIF(LM86:LM90, "")</f>
        <v>5</v>
      </c>
      <c r="LN130">
        <f t="shared" si="54"/>
        <v>5</v>
      </c>
      <c r="LO130">
        <f t="shared" si="54"/>
        <v>5</v>
      </c>
      <c r="LP130">
        <f t="shared" si="54"/>
        <v>5</v>
      </c>
      <c r="LQ130">
        <f t="shared" si="54"/>
        <v>5</v>
      </c>
      <c r="LR130">
        <f t="shared" si="54"/>
        <v>5</v>
      </c>
      <c r="LS130">
        <f t="shared" si="54"/>
        <v>5</v>
      </c>
      <c r="LT130">
        <f t="shared" si="54"/>
        <v>5</v>
      </c>
      <c r="LU130">
        <f t="shared" si="54"/>
        <v>5</v>
      </c>
      <c r="LV130">
        <f t="shared" si="54"/>
        <v>5</v>
      </c>
      <c r="LW130">
        <f t="shared" si="54"/>
        <v>5</v>
      </c>
      <c r="LX130">
        <f t="shared" si="54"/>
        <v>5</v>
      </c>
      <c r="LY130">
        <f t="shared" si="54"/>
        <v>5</v>
      </c>
      <c r="LZ130">
        <f t="shared" si="54"/>
        <v>5</v>
      </c>
      <c r="MA130">
        <f t="shared" si="54"/>
        <v>5</v>
      </c>
      <c r="MB130">
        <f t="shared" si="54"/>
        <v>5</v>
      </c>
      <c r="MC130">
        <f t="shared" si="54"/>
        <v>5</v>
      </c>
      <c r="MD130">
        <f t="shared" si="54"/>
        <v>5</v>
      </c>
      <c r="ME130">
        <f t="shared" si="54"/>
        <v>5</v>
      </c>
      <c r="MF130">
        <f t="shared" si="54"/>
        <v>5</v>
      </c>
      <c r="MG130">
        <f t="shared" si="54"/>
        <v>5</v>
      </c>
      <c r="MH130">
        <f t="shared" si="54"/>
        <v>5</v>
      </c>
      <c r="MI130">
        <f t="shared" si="54"/>
        <v>5</v>
      </c>
      <c r="MJ130">
        <f t="shared" si="54"/>
        <v>5</v>
      </c>
      <c r="MK130">
        <f t="shared" si="54"/>
        <v>5</v>
      </c>
      <c r="ML130">
        <f t="shared" si="54"/>
        <v>5</v>
      </c>
      <c r="MM130">
        <f t="shared" si="54"/>
        <v>5</v>
      </c>
      <c r="MN130">
        <f t="shared" si="54"/>
        <v>5</v>
      </c>
      <c r="MO130">
        <f t="shared" si="54"/>
        <v>5</v>
      </c>
      <c r="MP130">
        <f t="shared" si="54"/>
        <v>5</v>
      </c>
      <c r="MQ130">
        <f t="shared" si="54"/>
        <v>5</v>
      </c>
      <c r="MR130">
        <f t="shared" si="54"/>
        <v>5</v>
      </c>
      <c r="MS130">
        <f t="shared" si="54"/>
        <v>5</v>
      </c>
      <c r="MT130">
        <f t="shared" si="54"/>
        <v>5</v>
      </c>
      <c r="MU130">
        <f t="shared" si="54"/>
        <v>5</v>
      </c>
      <c r="MV130">
        <f t="shared" si="54"/>
        <v>5</v>
      </c>
      <c r="MW130">
        <f t="shared" si="54"/>
        <v>5</v>
      </c>
      <c r="MX130">
        <f t="shared" si="54"/>
        <v>5</v>
      </c>
      <c r="MY130">
        <f t="shared" si="54"/>
        <v>5</v>
      </c>
      <c r="MZ130">
        <f t="shared" si="54"/>
        <v>5</v>
      </c>
      <c r="NA130">
        <f t="shared" si="54"/>
        <v>5</v>
      </c>
      <c r="NB130">
        <f t="shared" si="54"/>
        <v>5</v>
      </c>
      <c r="NC130">
        <f t="shared" si="54"/>
        <v>5</v>
      </c>
    </row>
    <row r="133" spans="1:367">
      <c r="A133" t="s">
        <v>127</v>
      </c>
      <c r="B133" s="25"/>
    </row>
    <row r="134" spans="1:367">
      <c r="A134" t="s">
        <v>128</v>
      </c>
      <c r="B134" s="26"/>
    </row>
    <row r="135" spans="1:367">
      <c r="A135" t="s">
        <v>129</v>
      </c>
      <c r="B135" s="27"/>
    </row>
    <row r="136" spans="1:367">
      <c r="A136" t="s">
        <v>130</v>
      </c>
      <c r="B136" s="12"/>
    </row>
    <row r="137" spans="1:367">
      <c r="A137" t="s">
        <v>131</v>
      </c>
      <c r="B137" s="28"/>
    </row>
  </sheetData>
  <sheetProtection sheet="1" objects="1" scenarios="1"/>
  <conditionalFormatting sqref="A5:EQ8 EY8:FS8 A1:XFD2 EP3:XFD3 A3:EC4 EP4:GN4 ED4:EO5 FR5:GN7 EY6:FQ8 FY8:GG8 GM8:GN8 A9:GN9 H11:EQ14 EY14:FS14 H10:EC10 EP10:GN10 ED10:EO11 FR11:GN13 EY12:FQ14 FY14:GG14 GM14:GN14 H15:GN15 H17:EQ20 EY20:FS20 H16:EC16 EP16:GN16 ED16:EO17 FR17:GN19 EY18:FQ20 FY20:GG20 GM20:GN20 H21:GN21 H23:EQ26 EY26:FS26 H22:EC22 EP22:GN22 ED22:EO23 FR23:GN25 EY24:FQ26 FY26:GG26 GM26:GN26 H27:GN27 H29:EQ32 EY32:FS32 H28:EC28 EP28:GN28 ED28:EO29 FR29:GN31 EY30:FQ32 FY32:GG32 GM32:GN32 H33:GN33 H35:EQ38 EY38:FS38 H34:EC34 EP34:GN34 ED34:EO35 FR35:GN37 EY36:FQ38 FY38:GG38 GM38:GN38 H39:GN39 H41:EQ44 EY44:FS44 H40:EC40 EP40:GN40 ED40:EO41 FR41:GN43 EY42:FQ44 FY44:GG44 GM44:GN44 H45:GN45 H47:EQ50 EY50:FS50 H46:EC46 EP46:GN46 ED46:EO47 FR47:GN49 EY48:FQ50 FY50:GG50 GM50:GN50 H51:GN51 H53:EQ56 EY56:FS56 H52:EC52 EP52:GN52 ED52:EO53 FR53:GN55 EY54:FQ56 FY56:GG56 GM56:GN56 H57:GN57 H59:EQ62 EY62:FS62 H58:EC58 EP58:GN58 ED58:EO59 FR59:GN61 EY60:FQ62 FY62:GG62 GM62:GN62 H63:GN63 H65:EQ68 EY68:FS68 H64:EC64 EP64:GN64 ED64:EO65 FR65:GN67 EY66:FQ68 FY68:GG68 GM68:GN68 H69:GN69 H71:EQ74 EY74:FS74 H70:EC70 EP70:GN70 ED70:EO71 FR71:GN73 EY72:FQ74 FY74:GG74 GM74:GN74 H75:GN75 H77:EQ80 EY80:FS80 H76:EC76 EP76:GN76 ED76:EO77 FR77:GN79 EY78:FQ80 FY80:GG80 GM80:GN80 H81:GN81 A10:G87 H83:EQ86 EY86:FS86 H82:EC82 EP82:GN82 ED82:EO83 FR83:GN85 EY84:FQ86 FY86:GG86 GM86:GN86 H87:GN87 GO4:IB87 IE4:JR87 JU4:XFD87 A88:XFD1048576">
    <cfRule type="containsText" dxfId="6" priority="1" operator="containsText" text="Clinic">
      <formula>NOT(ISERROR(SEARCH("Clinic",A1)))</formula>
    </cfRule>
  </conditionalFormatting>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95694-2AB0-6347-A789-D9B7EFA89FF0}">
  <dimension ref="A1:BO211"/>
  <sheetViews>
    <sheetView workbookViewId="0">
      <pane ySplit="1" topLeftCell="A85" activePane="bottomLeft" state="frozen"/>
      <selection pane="bottomLeft" activeCell="A91" sqref="A91:XFD91"/>
    </sheetView>
  </sheetViews>
  <sheetFormatPr defaultColWidth="11" defaultRowHeight="15.95"/>
  <sheetData>
    <row r="1" spans="1:67" ht="17.100000000000001" thickBot="1">
      <c r="B1" t="s">
        <v>132</v>
      </c>
      <c r="C1" s="3">
        <v>46204</v>
      </c>
      <c r="D1" s="3">
        <v>46209</v>
      </c>
      <c r="E1" s="3">
        <v>46216</v>
      </c>
      <c r="F1" s="3">
        <v>46223</v>
      </c>
      <c r="G1" s="3">
        <v>46230</v>
      </c>
      <c r="H1" s="3">
        <v>46237</v>
      </c>
      <c r="I1" s="3">
        <v>46244</v>
      </c>
      <c r="J1" s="3">
        <v>46251</v>
      </c>
      <c r="K1" s="3">
        <v>46258</v>
      </c>
      <c r="L1" s="3">
        <v>46265</v>
      </c>
      <c r="M1" s="3">
        <v>46272</v>
      </c>
      <c r="N1" s="3">
        <v>46279</v>
      </c>
      <c r="O1" s="3">
        <v>46286</v>
      </c>
      <c r="P1" s="3">
        <v>46293</v>
      </c>
      <c r="Q1" s="3">
        <v>46300</v>
      </c>
      <c r="R1" s="3">
        <v>46307</v>
      </c>
      <c r="S1" s="3">
        <v>46314</v>
      </c>
      <c r="T1" s="3">
        <v>46321</v>
      </c>
      <c r="U1" s="3">
        <v>46328</v>
      </c>
      <c r="V1" s="3">
        <v>46335</v>
      </c>
      <c r="W1" s="3">
        <v>46342</v>
      </c>
      <c r="X1" s="4">
        <v>46349</v>
      </c>
      <c r="Y1" s="3">
        <v>46356</v>
      </c>
      <c r="Z1" s="3">
        <v>46363</v>
      </c>
      <c r="AA1" s="3">
        <v>46370</v>
      </c>
      <c r="AB1" s="4">
        <v>46377</v>
      </c>
      <c r="AC1" s="4">
        <v>46384</v>
      </c>
      <c r="AD1" s="3">
        <v>46026</v>
      </c>
      <c r="AE1" s="3">
        <v>46033</v>
      </c>
      <c r="AF1" s="3">
        <v>46040</v>
      </c>
      <c r="AG1" s="3">
        <v>46047</v>
      </c>
      <c r="AH1" s="3">
        <v>46054</v>
      </c>
      <c r="AI1" s="3">
        <v>46061</v>
      </c>
      <c r="AJ1" s="3">
        <v>46068</v>
      </c>
      <c r="AK1" s="3">
        <v>46075</v>
      </c>
      <c r="AL1" s="3">
        <v>46082</v>
      </c>
      <c r="AM1" s="3">
        <v>46089</v>
      </c>
      <c r="AN1" s="3">
        <v>46096</v>
      </c>
      <c r="AO1" s="3">
        <v>46103</v>
      </c>
      <c r="AP1" s="3">
        <v>46110</v>
      </c>
      <c r="AQ1" s="3">
        <v>46117</v>
      </c>
      <c r="AR1" s="3">
        <v>46124</v>
      </c>
      <c r="AS1" s="3">
        <v>46131</v>
      </c>
      <c r="AT1" s="3">
        <v>46138</v>
      </c>
      <c r="AU1" s="3">
        <v>46145</v>
      </c>
      <c r="AV1" s="3">
        <v>46152</v>
      </c>
      <c r="AW1" s="3">
        <v>46159</v>
      </c>
      <c r="AX1" s="3">
        <v>46166</v>
      </c>
      <c r="AY1" s="3">
        <v>46173</v>
      </c>
      <c r="AZ1" s="3">
        <v>46180</v>
      </c>
      <c r="BA1" s="5">
        <v>46187</v>
      </c>
      <c r="BB1" s="3">
        <v>46194</v>
      </c>
      <c r="BC1" s="6">
        <v>46201</v>
      </c>
      <c r="BF1" t="s">
        <v>133</v>
      </c>
      <c r="BG1" t="s">
        <v>134</v>
      </c>
      <c r="BH1" t="s">
        <v>135</v>
      </c>
      <c r="BI1" t="s">
        <v>136</v>
      </c>
      <c r="BJ1" t="s">
        <v>129</v>
      </c>
      <c r="BK1" t="s">
        <v>137</v>
      </c>
      <c r="BL1" t="s">
        <v>138</v>
      </c>
      <c r="BM1" t="s">
        <v>139</v>
      </c>
      <c r="BN1" t="s">
        <v>140</v>
      </c>
      <c r="BO1" t="s">
        <v>141</v>
      </c>
    </row>
    <row r="2" spans="1:67">
      <c r="X2" t="s">
        <v>142</v>
      </c>
      <c r="AB2" t="s">
        <v>143</v>
      </c>
      <c r="AC2" t="s">
        <v>144</v>
      </c>
    </row>
    <row r="3" spans="1:67">
      <c r="A3" s="1" t="s">
        <v>2</v>
      </c>
    </row>
    <row r="4" spans="1:67">
      <c r="A4" t="s">
        <v>3</v>
      </c>
      <c r="C4" s="12"/>
      <c r="D4" t="s">
        <v>4</v>
      </c>
      <c r="E4" s="10"/>
      <c r="F4" s="10"/>
      <c r="G4" s="10"/>
      <c r="H4" s="11"/>
      <c r="I4" s="11"/>
      <c r="J4" t="s">
        <v>4</v>
      </c>
      <c r="K4" s="10"/>
      <c r="L4" s="10"/>
      <c r="M4" s="10"/>
      <c r="N4" s="11"/>
      <c r="O4" s="11"/>
      <c r="P4" t="s">
        <v>4</v>
      </c>
      <c r="Q4" s="10"/>
      <c r="R4" s="10"/>
      <c r="S4" s="10"/>
      <c r="T4" s="11"/>
      <c r="U4" s="11"/>
      <c r="V4" t="s">
        <v>4</v>
      </c>
      <c r="W4" s="10"/>
      <c r="X4" s="12"/>
      <c r="Y4" s="10"/>
      <c r="Z4" s="10"/>
      <c r="AA4" s="11"/>
      <c r="AB4" s="12"/>
      <c r="AC4" s="12"/>
      <c r="AD4" s="11"/>
      <c r="AE4" t="s">
        <v>4</v>
      </c>
      <c r="AF4" s="10"/>
      <c r="AG4" s="10"/>
      <c r="AH4" s="10"/>
      <c r="AI4" s="11"/>
      <c r="AJ4" s="11"/>
      <c r="AK4" t="s">
        <v>4</v>
      </c>
      <c r="AL4" s="10"/>
      <c r="AM4" s="10"/>
      <c r="AN4" s="10"/>
      <c r="AO4" s="11"/>
      <c r="AP4" s="11"/>
      <c r="AQ4" t="s">
        <v>4</v>
      </c>
      <c r="AR4" s="10"/>
      <c r="AS4" s="10"/>
      <c r="AT4" s="10"/>
      <c r="AU4" s="11"/>
      <c r="AV4" s="11"/>
      <c r="AW4" t="s">
        <v>4</v>
      </c>
      <c r="AX4" s="10"/>
      <c r="AY4" s="10"/>
      <c r="AZ4" s="10"/>
      <c r="BA4" s="11"/>
      <c r="BB4" s="11"/>
      <c r="BC4" s="12"/>
      <c r="BG4">
        <f>COUNTIF(D4:BC4, "rSLUH*")</f>
        <v>0</v>
      </c>
      <c r="BH4">
        <f>COUNTIF(D4:BC4, "rVA*")</f>
        <v>0</v>
      </c>
      <c r="BI4">
        <f>COUNTIF(D4:BC4, "rMICU*")</f>
        <v>0</v>
      </c>
      <c r="BJ4">
        <f>COUNTIF(D4:BC4, "rNF*")</f>
        <v>0</v>
      </c>
      <c r="BK4">
        <f>COUNTIF(D4:BC4, "bro*")</f>
        <v>0</v>
      </c>
      <c r="BL4">
        <f>COUNTIF(D4:BC4, "rCar*")</f>
        <v>0</v>
      </c>
      <c r="BM4">
        <f>COUNTIF(D4:BC4, "ID*")</f>
        <v>0</v>
      </c>
      <c r="BN4">
        <f>COUNTIF(D4:BC4, "jeopardy")</f>
        <v>0</v>
      </c>
    </row>
    <row r="5" spans="1:67">
      <c r="A5" t="s">
        <v>5</v>
      </c>
      <c r="C5" s="12"/>
      <c r="D5" s="11"/>
      <c r="E5" t="s">
        <v>4</v>
      </c>
      <c r="F5" s="10"/>
      <c r="G5" s="10"/>
      <c r="H5" s="10"/>
      <c r="I5" s="11"/>
      <c r="J5" s="11"/>
      <c r="K5" t="s">
        <v>4</v>
      </c>
      <c r="L5" s="10"/>
      <c r="M5" s="10"/>
      <c r="N5" s="10"/>
      <c r="O5" s="11"/>
      <c r="P5" s="11"/>
      <c r="Q5" t="s">
        <v>4</v>
      </c>
      <c r="R5" s="10"/>
      <c r="S5" s="10"/>
      <c r="T5" s="10"/>
      <c r="U5" s="11"/>
      <c r="V5" s="11"/>
      <c r="W5" t="s">
        <v>4</v>
      </c>
      <c r="X5" s="12"/>
      <c r="Y5" s="10"/>
      <c r="Z5" s="10"/>
      <c r="AA5" s="10"/>
      <c r="AB5" s="12"/>
      <c r="AC5" s="12"/>
      <c r="AD5" s="11"/>
      <c r="AE5" s="11"/>
      <c r="AF5" t="s">
        <v>4</v>
      </c>
      <c r="AG5" s="10"/>
      <c r="AH5" s="10"/>
      <c r="AI5" s="10"/>
      <c r="AJ5" s="11"/>
      <c r="AK5" s="11"/>
      <c r="AL5" t="s">
        <v>4</v>
      </c>
      <c r="AM5" s="10"/>
      <c r="AN5" s="10"/>
      <c r="AO5" s="10"/>
      <c r="AP5" s="11"/>
      <c r="AQ5" s="11"/>
      <c r="AR5" t="s">
        <v>4</v>
      </c>
      <c r="AS5" s="10"/>
      <c r="AT5" s="10"/>
      <c r="AU5" s="10"/>
      <c r="AV5" s="11"/>
      <c r="AW5" s="11"/>
      <c r="AX5" t="s">
        <v>4</v>
      </c>
      <c r="AY5" s="10"/>
      <c r="AZ5" s="10"/>
      <c r="BA5" s="10"/>
      <c r="BB5" s="11"/>
      <c r="BC5" s="12"/>
      <c r="BG5">
        <f t="shared" ref="BG5:BG60" si="0">COUNTIF(D5:BC5, "rSLUH*")</f>
        <v>0</v>
      </c>
      <c r="BH5">
        <f t="shared" ref="BH5:BH60" si="1">COUNTIF(D5:BC5, "rVA*")</f>
        <v>0</v>
      </c>
      <c r="BI5">
        <f t="shared" ref="BI5:BI60" si="2">COUNTIF(D5:BC5, "rMICU*")</f>
        <v>0</v>
      </c>
      <c r="BJ5">
        <f t="shared" ref="BJ5:BJ60" si="3">COUNTIF(D5:BC5, "rNF*")</f>
        <v>0</v>
      </c>
      <c r="BK5">
        <f t="shared" ref="BK5:BK59" si="4">COUNTIF(D5:BC5, "bro*")</f>
        <v>0</v>
      </c>
      <c r="BL5">
        <f t="shared" ref="BL5:BL60" si="5">COUNTIF(D5:BC5, "rCar*")</f>
        <v>0</v>
      </c>
      <c r="BM5">
        <f t="shared" ref="BM5:BM59" si="6">COUNTIF(D5:BC5, "ID*")</f>
        <v>0</v>
      </c>
      <c r="BN5">
        <f t="shared" ref="BN5:BN59" si="7">COUNTIF(D5:BC5, "jeopardy")</f>
        <v>0</v>
      </c>
    </row>
    <row r="6" spans="1:67">
      <c r="A6" t="s">
        <v>6</v>
      </c>
      <c r="C6" s="12"/>
      <c r="D6" s="11"/>
      <c r="E6" s="11"/>
      <c r="F6" t="s">
        <v>4</v>
      </c>
      <c r="G6" s="10"/>
      <c r="H6" s="10"/>
      <c r="I6" s="10"/>
      <c r="J6" s="11"/>
      <c r="K6" s="11"/>
      <c r="L6" t="s">
        <v>4</v>
      </c>
      <c r="M6" s="10"/>
      <c r="N6" s="10"/>
      <c r="O6" s="10"/>
      <c r="P6" s="11"/>
      <c r="Q6" s="11"/>
      <c r="R6" t="s">
        <v>4</v>
      </c>
      <c r="S6" s="10"/>
      <c r="T6" s="10"/>
      <c r="U6" s="10"/>
      <c r="V6" s="11"/>
      <c r="W6" s="11"/>
      <c r="X6" s="12"/>
      <c r="Y6" t="s">
        <v>4</v>
      </c>
      <c r="Z6" s="10"/>
      <c r="AA6" s="10"/>
      <c r="AB6" s="12"/>
      <c r="AC6" s="12"/>
      <c r="AD6" s="10"/>
      <c r="AE6" s="11"/>
      <c r="AF6" s="11"/>
      <c r="AG6" t="s">
        <v>4</v>
      </c>
      <c r="AH6" s="10"/>
      <c r="AI6" s="10"/>
      <c r="AJ6" s="10"/>
      <c r="AK6" s="11"/>
      <c r="AL6" s="11"/>
      <c r="AM6" t="s">
        <v>4</v>
      </c>
      <c r="AN6" s="10"/>
      <c r="AO6" s="10"/>
      <c r="AP6" s="10"/>
      <c r="AQ6" s="11"/>
      <c r="AR6" s="11"/>
      <c r="AS6" t="s">
        <v>4</v>
      </c>
      <c r="AT6" s="10"/>
      <c r="AU6" s="10"/>
      <c r="AV6" s="10"/>
      <c r="AW6" s="11"/>
      <c r="AX6" s="11"/>
      <c r="AY6" t="s">
        <v>4</v>
      </c>
      <c r="AZ6" s="10"/>
      <c r="BA6" s="10"/>
      <c r="BB6" s="10"/>
      <c r="BC6" s="12"/>
      <c r="BG6">
        <f t="shared" si="0"/>
        <v>0</v>
      </c>
      <c r="BH6">
        <f t="shared" si="1"/>
        <v>0</v>
      </c>
      <c r="BI6">
        <f t="shared" si="2"/>
        <v>0</v>
      </c>
      <c r="BJ6">
        <f t="shared" si="3"/>
        <v>0</v>
      </c>
      <c r="BK6">
        <f t="shared" si="4"/>
        <v>0</v>
      </c>
      <c r="BL6">
        <f t="shared" si="5"/>
        <v>0</v>
      </c>
      <c r="BM6">
        <f t="shared" si="6"/>
        <v>0</v>
      </c>
      <c r="BN6">
        <f t="shared" si="7"/>
        <v>0</v>
      </c>
    </row>
    <row r="7" spans="1:67">
      <c r="A7" t="s">
        <v>7</v>
      </c>
      <c r="C7" s="12"/>
      <c r="D7" s="10"/>
      <c r="E7" s="11"/>
      <c r="F7" s="11"/>
      <c r="G7" t="s">
        <v>4</v>
      </c>
      <c r="H7" s="10"/>
      <c r="I7" s="10"/>
      <c r="J7" s="10"/>
      <c r="K7" s="11"/>
      <c r="L7" s="11"/>
      <c r="M7" t="s">
        <v>4</v>
      </c>
      <c r="N7" s="10"/>
      <c r="O7" s="10"/>
      <c r="P7" s="10"/>
      <c r="Q7" s="11"/>
      <c r="R7" s="11"/>
      <c r="S7" t="s">
        <v>4</v>
      </c>
      <c r="T7" s="10"/>
      <c r="U7" s="10"/>
      <c r="V7" s="10"/>
      <c r="W7" s="11"/>
      <c r="X7" s="12"/>
      <c r="Y7" s="11"/>
      <c r="Z7" t="s">
        <v>4</v>
      </c>
      <c r="AA7" s="10"/>
      <c r="AB7" s="12"/>
      <c r="AC7" s="12"/>
      <c r="AD7" s="10"/>
      <c r="AE7" s="10"/>
      <c r="AF7" s="11"/>
      <c r="AG7" s="11"/>
      <c r="AH7" t="s">
        <v>4</v>
      </c>
      <c r="AI7" s="10"/>
      <c r="AJ7" s="10"/>
      <c r="AK7" s="10"/>
      <c r="AL7" s="11"/>
      <c r="AM7" s="11"/>
      <c r="AN7" t="s">
        <v>4</v>
      </c>
      <c r="AO7" s="10"/>
      <c r="AP7" s="10"/>
      <c r="AQ7" s="10"/>
      <c r="AR7" s="11"/>
      <c r="AS7" s="11"/>
      <c r="AT7" t="s">
        <v>4</v>
      </c>
      <c r="AU7" s="10"/>
      <c r="AV7" s="10"/>
      <c r="AW7" s="10"/>
      <c r="AX7" s="11"/>
      <c r="AY7" s="11"/>
      <c r="AZ7" t="s">
        <v>4</v>
      </c>
      <c r="BA7" s="10"/>
      <c r="BB7" s="10"/>
      <c r="BC7" s="12"/>
      <c r="BG7">
        <f t="shared" si="0"/>
        <v>0</v>
      </c>
      <c r="BH7">
        <f t="shared" si="1"/>
        <v>0</v>
      </c>
      <c r="BI7">
        <f t="shared" si="2"/>
        <v>0</v>
      </c>
      <c r="BJ7">
        <f t="shared" si="3"/>
        <v>0</v>
      </c>
      <c r="BK7">
        <f t="shared" si="4"/>
        <v>0</v>
      </c>
      <c r="BL7">
        <f t="shared" si="5"/>
        <v>0</v>
      </c>
      <c r="BM7">
        <f t="shared" si="6"/>
        <v>0</v>
      </c>
      <c r="BN7">
        <f t="shared" si="7"/>
        <v>0</v>
      </c>
    </row>
    <row r="8" spans="1:67">
      <c r="A8" t="s">
        <v>8</v>
      </c>
      <c r="C8" s="12"/>
      <c r="D8" s="10"/>
      <c r="E8" s="10"/>
      <c r="F8" s="11"/>
      <c r="G8" s="11"/>
      <c r="H8" t="s">
        <v>4</v>
      </c>
      <c r="I8" s="10"/>
      <c r="J8" s="10"/>
      <c r="K8" s="10"/>
      <c r="L8" s="11"/>
      <c r="M8" s="11"/>
      <c r="N8" t="s">
        <v>4</v>
      </c>
      <c r="O8" s="10"/>
      <c r="P8" s="10"/>
      <c r="Q8" s="10"/>
      <c r="R8" s="11"/>
      <c r="S8" s="11"/>
      <c r="T8" t="s">
        <v>4</v>
      </c>
      <c r="U8" s="10"/>
      <c r="V8" s="10"/>
      <c r="W8" s="10"/>
      <c r="X8" s="12"/>
      <c r="Y8" s="11"/>
      <c r="Z8" s="11"/>
      <c r="AA8" t="s">
        <v>4</v>
      </c>
      <c r="AB8" s="12"/>
      <c r="AC8" s="12"/>
      <c r="AD8" s="10"/>
      <c r="AE8" s="10"/>
      <c r="AF8" s="10"/>
      <c r="AG8" s="11"/>
      <c r="AH8" s="11"/>
      <c r="AI8" t="s">
        <v>4</v>
      </c>
      <c r="AJ8" s="10"/>
      <c r="AK8" s="10"/>
      <c r="AL8" s="10"/>
      <c r="AM8" s="11"/>
      <c r="AN8" s="11"/>
      <c r="AO8" t="s">
        <v>4</v>
      </c>
      <c r="AP8" s="10"/>
      <c r="AQ8" s="10"/>
      <c r="AR8" s="10"/>
      <c r="AS8" s="11"/>
      <c r="AT8" s="11"/>
      <c r="AU8" t="s">
        <v>4</v>
      </c>
      <c r="AV8" s="10"/>
      <c r="AW8" s="10"/>
      <c r="AX8" s="10"/>
      <c r="AY8" s="11"/>
      <c r="AZ8" s="11"/>
      <c r="BA8" t="s">
        <v>4</v>
      </c>
      <c r="BB8" s="10"/>
      <c r="BC8" s="12"/>
      <c r="BG8">
        <f t="shared" si="0"/>
        <v>0</v>
      </c>
      <c r="BH8">
        <f t="shared" si="1"/>
        <v>0</v>
      </c>
      <c r="BI8">
        <f t="shared" si="2"/>
        <v>0</v>
      </c>
      <c r="BJ8">
        <f t="shared" si="3"/>
        <v>0</v>
      </c>
      <c r="BK8">
        <f t="shared" si="4"/>
        <v>0</v>
      </c>
      <c r="BL8">
        <f t="shared" si="5"/>
        <v>0</v>
      </c>
      <c r="BM8">
        <f t="shared" si="6"/>
        <v>0</v>
      </c>
      <c r="BN8">
        <f t="shared" si="7"/>
        <v>0</v>
      </c>
    </row>
    <row r="9" spans="1:67">
      <c r="A9" t="s">
        <v>9</v>
      </c>
      <c r="C9" s="12"/>
      <c r="D9" s="10"/>
      <c r="E9" s="10"/>
      <c r="F9" s="10"/>
      <c r="G9" s="11"/>
      <c r="H9" s="11"/>
      <c r="I9" t="s">
        <v>4</v>
      </c>
      <c r="J9" s="10"/>
      <c r="K9" s="10"/>
      <c r="L9" s="10"/>
      <c r="M9" s="11"/>
      <c r="N9" s="11"/>
      <c r="O9" t="s">
        <v>4</v>
      </c>
      <c r="P9" s="10"/>
      <c r="Q9" s="10"/>
      <c r="R9" s="10"/>
      <c r="S9" s="11"/>
      <c r="T9" s="11"/>
      <c r="U9" t="s">
        <v>4</v>
      </c>
      <c r="V9" s="10"/>
      <c r="W9" s="10"/>
      <c r="X9" s="12"/>
      <c r="Y9" s="10"/>
      <c r="Z9" s="11"/>
      <c r="AA9" s="11"/>
      <c r="AB9" s="12"/>
      <c r="AC9" s="12"/>
      <c r="AD9" t="s">
        <v>4</v>
      </c>
      <c r="AE9" s="10"/>
      <c r="AF9" s="10"/>
      <c r="AG9" s="10"/>
      <c r="AH9" s="11"/>
      <c r="AI9" s="11"/>
      <c r="AJ9" t="s">
        <v>4</v>
      </c>
      <c r="AK9" s="10"/>
      <c r="AL9" s="10"/>
      <c r="AM9" s="10"/>
      <c r="AN9" s="11"/>
      <c r="AO9" s="11"/>
      <c r="AP9" t="s">
        <v>4</v>
      </c>
      <c r="AQ9" s="10"/>
      <c r="AR9" s="10"/>
      <c r="AS9" s="10"/>
      <c r="AT9" s="11"/>
      <c r="AU9" s="11"/>
      <c r="AV9" t="s">
        <v>4</v>
      </c>
      <c r="AW9" s="10"/>
      <c r="AX9" s="10"/>
      <c r="AY9" s="10"/>
      <c r="AZ9" s="11"/>
      <c r="BA9" s="11"/>
      <c r="BB9" t="s">
        <v>4</v>
      </c>
      <c r="BC9" s="12"/>
      <c r="BG9">
        <f t="shared" si="0"/>
        <v>0</v>
      </c>
      <c r="BH9">
        <f t="shared" si="1"/>
        <v>0</v>
      </c>
      <c r="BI9">
        <f t="shared" si="2"/>
        <v>0</v>
      </c>
      <c r="BJ9">
        <f t="shared" si="3"/>
        <v>0</v>
      </c>
      <c r="BK9">
        <f t="shared" si="4"/>
        <v>0</v>
      </c>
      <c r="BL9">
        <f t="shared" si="5"/>
        <v>0</v>
      </c>
      <c r="BM9">
        <f t="shared" si="6"/>
        <v>0</v>
      </c>
      <c r="BN9">
        <f t="shared" si="7"/>
        <v>0</v>
      </c>
    </row>
    <row r="10" spans="1:67">
      <c r="A10" t="s">
        <v>10</v>
      </c>
      <c r="C10" s="12"/>
      <c r="D10" t="s">
        <v>4</v>
      </c>
      <c r="E10" s="10"/>
      <c r="F10" s="10"/>
      <c r="G10" s="10"/>
      <c r="H10" s="11"/>
      <c r="I10" s="11"/>
      <c r="J10" t="s">
        <v>4</v>
      </c>
      <c r="K10" s="10"/>
      <c r="L10" s="10"/>
      <c r="M10" s="10"/>
      <c r="N10" s="11"/>
      <c r="O10" s="11"/>
      <c r="P10" t="s">
        <v>4</v>
      </c>
      <c r="Q10" s="10"/>
      <c r="R10" s="10"/>
      <c r="S10" s="10"/>
      <c r="T10" s="11"/>
      <c r="U10" s="11"/>
      <c r="V10" t="s">
        <v>4</v>
      </c>
      <c r="W10" s="10"/>
      <c r="X10" s="12"/>
      <c r="Y10" s="10"/>
      <c r="Z10" s="10"/>
      <c r="AA10" s="11"/>
      <c r="AB10" s="12"/>
      <c r="AC10" s="12"/>
      <c r="AD10" s="11"/>
      <c r="AE10" t="s">
        <v>4</v>
      </c>
      <c r="AF10" s="10"/>
      <c r="AG10" s="10"/>
      <c r="AH10" s="10"/>
      <c r="AI10" s="11"/>
      <c r="AJ10" s="11"/>
      <c r="AK10" t="s">
        <v>4</v>
      </c>
      <c r="AL10" s="10"/>
      <c r="AM10" s="10"/>
      <c r="AN10" s="10"/>
      <c r="AO10" s="11"/>
      <c r="AP10" s="11"/>
      <c r="AQ10" t="s">
        <v>4</v>
      </c>
      <c r="AR10" s="10"/>
      <c r="AS10" s="10"/>
      <c r="AT10" s="10"/>
      <c r="AU10" s="11"/>
      <c r="AV10" s="11"/>
      <c r="AW10" t="s">
        <v>4</v>
      </c>
      <c r="AX10" s="10"/>
      <c r="AY10" s="10"/>
      <c r="AZ10" s="10"/>
      <c r="BA10" s="11"/>
      <c r="BB10" s="11"/>
      <c r="BC10" s="12"/>
      <c r="BG10">
        <f t="shared" si="0"/>
        <v>0</v>
      </c>
      <c r="BH10">
        <f t="shared" si="1"/>
        <v>0</v>
      </c>
      <c r="BI10">
        <f t="shared" si="2"/>
        <v>0</v>
      </c>
      <c r="BJ10">
        <f t="shared" si="3"/>
        <v>0</v>
      </c>
      <c r="BK10">
        <f t="shared" si="4"/>
        <v>0</v>
      </c>
      <c r="BL10">
        <f t="shared" si="5"/>
        <v>0</v>
      </c>
      <c r="BM10">
        <f t="shared" si="6"/>
        <v>0</v>
      </c>
      <c r="BN10">
        <f t="shared" si="7"/>
        <v>0</v>
      </c>
    </row>
    <row r="11" spans="1:67">
      <c r="A11" t="s">
        <v>11</v>
      </c>
      <c r="C11" s="12"/>
      <c r="D11" s="11"/>
      <c r="E11" t="s">
        <v>4</v>
      </c>
      <c r="F11" s="10"/>
      <c r="G11" s="10"/>
      <c r="H11" s="10"/>
      <c r="I11" s="11"/>
      <c r="J11" s="11"/>
      <c r="K11" t="s">
        <v>4</v>
      </c>
      <c r="L11" s="10"/>
      <c r="M11" s="10"/>
      <c r="N11" s="10"/>
      <c r="O11" s="11"/>
      <c r="P11" s="11"/>
      <c r="Q11" t="s">
        <v>4</v>
      </c>
      <c r="R11" s="10"/>
      <c r="S11" s="10"/>
      <c r="T11" s="10"/>
      <c r="U11" s="11"/>
      <c r="V11" s="11"/>
      <c r="W11" t="s">
        <v>4</v>
      </c>
      <c r="X11" s="12"/>
      <c r="Y11" s="10"/>
      <c r="Z11" s="10"/>
      <c r="AA11" s="10"/>
      <c r="AB11" s="12"/>
      <c r="AC11" s="12"/>
      <c r="AD11" s="11"/>
      <c r="AE11" s="11"/>
      <c r="AF11" t="s">
        <v>4</v>
      </c>
      <c r="AG11" s="10"/>
      <c r="AH11" s="10"/>
      <c r="AI11" s="10"/>
      <c r="AJ11" s="11"/>
      <c r="AK11" s="11"/>
      <c r="AL11" t="s">
        <v>4</v>
      </c>
      <c r="AM11" s="10"/>
      <c r="AN11" s="10"/>
      <c r="AO11" s="10"/>
      <c r="AP11" s="11"/>
      <c r="AQ11" s="11"/>
      <c r="AR11" t="s">
        <v>4</v>
      </c>
      <c r="AS11" s="10"/>
      <c r="AT11" s="10"/>
      <c r="AU11" s="10"/>
      <c r="AV11" s="11"/>
      <c r="AW11" s="11"/>
      <c r="AX11" t="s">
        <v>4</v>
      </c>
      <c r="AY11" s="10"/>
      <c r="AZ11" s="10"/>
      <c r="BA11" s="10"/>
      <c r="BB11" s="11"/>
      <c r="BC11" s="12"/>
      <c r="BG11">
        <f t="shared" si="0"/>
        <v>0</v>
      </c>
      <c r="BH11">
        <f t="shared" si="1"/>
        <v>0</v>
      </c>
      <c r="BI11">
        <f t="shared" si="2"/>
        <v>0</v>
      </c>
      <c r="BJ11">
        <f t="shared" si="3"/>
        <v>0</v>
      </c>
      <c r="BK11">
        <f t="shared" si="4"/>
        <v>0</v>
      </c>
      <c r="BL11">
        <f t="shared" si="5"/>
        <v>0</v>
      </c>
      <c r="BM11">
        <f t="shared" si="6"/>
        <v>0</v>
      </c>
      <c r="BN11">
        <f t="shared" si="7"/>
        <v>0</v>
      </c>
    </row>
    <row r="12" spans="1:67">
      <c r="A12" t="s">
        <v>12</v>
      </c>
      <c r="C12" s="12"/>
      <c r="D12" s="11"/>
      <c r="E12" s="11"/>
      <c r="F12" t="s">
        <v>4</v>
      </c>
      <c r="G12" s="10"/>
      <c r="H12" s="10"/>
      <c r="I12" s="10"/>
      <c r="J12" s="11"/>
      <c r="K12" s="11"/>
      <c r="L12" t="s">
        <v>4</v>
      </c>
      <c r="M12" s="10"/>
      <c r="N12" s="10"/>
      <c r="O12" s="10"/>
      <c r="P12" s="11"/>
      <c r="Q12" s="11"/>
      <c r="R12" t="s">
        <v>4</v>
      </c>
      <c r="S12" s="10"/>
      <c r="T12" s="10"/>
      <c r="U12" s="10"/>
      <c r="V12" s="11"/>
      <c r="W12" s="11"/>
      <c r="X12" s="12"/>
      <c r="Y12" t="s">
        <v>4</v>
      </c>
      <c r="Z12" s="10"/>
      <c r="AA12" s="10"/>
      <c r="AB12" s="12"/>
      <c r="AC12" s="12"/>
      <c r="AD12" s="10"/>
      <c r="AE12" s="11"/>
      <c r="AF12" s="11"/>
      <c r="AG12" t="s">
        <v>4</v>
      </c>
      <c r="AH12" s="10"/>
      <c r="AI12" s="10"/>
      <c r="AJ12" s="10"/>
      <c r="AK12" s="11"/>
      <c r="AL12" s="11"/>
      <c r="AM12" t="s">
        <v>4</v>
      </c>
      <c r="AN12" s="10"/>
      <c r="AO12" s="10"/>
      <c r="AP12" s="10"/>
      <c r="AQ12" s="11"/>
      <c r="AR12" s="11"/>
      <c r="AS12" t="s">
        <v>4</v>
      </c>
      <c r="AT12" s="10"/>
      <c r="AU12" s="10"/>
      <c r="AV12" s="10"/>
      <c r="AW12" s="11"/>
      <c r="AX12" s="11"/>
      <c r="AY12" t="s">
        <v>4</v>
      </c>
      <c r="AZ12" s="10"/>
      <c r="BA12" s="10"/>
      <c r="BB12" s="10"/>
      <c r="BC12" s="12"/>
      <c r="BG12">
        <f t="shared" si="0"/>
        <v>0</v>
      </c>
      <c r="BH12">
        <f t="shared" si="1"/>
        <v>0</v>
      </c>
      <c r="BI12">
        <f t="shared" si="2"/>
        <v>0</v>
      </c>
      <c r="BJ12">
        <f t="shared" si="3"/>
        <v>0</v>
      </c>
      <c r="BK12">
        <f t="shared" si="4"/>
        <v>0</v>
      </c>
      <c r="BL12">
        <f t="shared" si="5"/>
        <v>0</v>
      </c>
      <c r="BM12">
        <f t="shared" si="6"/>
        <v>0</v>
      </c>
      <c r="BN12">
        <f t="shared" si="7"/>
        <v>0</v>
      </c>
    </row>
    <row r="13" spans="1:67">
      <c r="A13" t="s">
        <v>13</v>
      </c>
      <c r="C13" s="12"/>
      <c r="D13" s="10"/>
      <c r="E13" s="11"/>
      <c r="F13" s="11"/>
      <c r="G13" t="s">
        <v>4</v>
      </c>
      <c r="H13" s="10"/>
      <c r="I13" s="10"/>
      <c r="J13" s="10"/>
      <c r="K13" s="11"/>
      <c r="L13" s="11"/>
      <c r="M13" t="s">
        <v>4</v>
      </c>
      <c r="N13" s="10"/>
      <c r="O13" s="10"/>
      <c r="P13" s="10"/>
      <c r="Q13" s="11"/>
      <c r="R13" s="11"/>
      <c r="S13" t="s">
        <v>4</v>
      </c>
      <c r="T13" s="10"/>
      <c r="U13" s="10"/>
      <c r="V13" s="10"/>
      <c r="W13" s="11"/>
      <c r="X13" s="12"/>
      <c r="Y13" s="11"/>
      <c r="Z13" t="s">
        <v>4</v>
      </c>
      <c r="AA13" s="10"/>
      <c r="AB13" s="12"/>
      <c r="AC13" s="12"/>
      <c r="AD13" s="10"/>
      <c r="AE13" s="10"/>
      <c r="AF13" s="11"/>
      <c r="AG13" s="11"/>
      <c r="AH13" t="s">
        <v>4</v>
      </c>
      <c r="AI13" s="10"/>
      <c r="AJ13" s="10"/>
      <c r="AK13" s="10"/>
      <c r="AL13" s="11"/>
      <c r="AM13" s="11"/>
      <c r="AN13" t="s">
        <v>4</v>
      </c>
      <c r="AO13" s="10"/>
      <c r="AP13" s="10"/>
      <c r="AQ13" s="10"/>
      <c r="AR13" s="11"/>
      <c r="AS13" s="11"/>
      <c r="AT13" t="s">
        <v>4</v>
      </c>
      <c r="AU13" s="10"/>
      <c r="AV13" s="10"/>
      <c r="AW13" s="10"/>
      <c r="AX13" s="11"/>
      <c r="AY13" s="11"/>
      <c r="AZ13" t="s">
        <v>4</v>
      </c>
      <c r="BA13" s="10"/>
      <c r="BB13" s="10"/>
      <c r="BC13" s="12"/>
      <c r="BG13">
        <f t="shared" si="0"/>
        <v>0</v>
      </c>
      <c r="BH13">
        <f t="shared" si="1"/>
        <v>0</v>
      </c>
      <c r="BI13">
        <f t="shared" si="2"/>
        <v>0</v>
      </c>
      <c r="BJ13">
        <f t="shared" si="3"/>
        <v>0</v>
      </c>
      <c r="BK13">
        <f t="shared" si="4"/>
        <v>0</v>
      </c>
      <c r="BL13">
        <f t="shared" si="5"/>
        <v>0</v>
      </c>
      <c r="BM13">
        <f t="shared" si="6"/>
        <v>0</v>
      </c>
      <c r="BN13">
        <f t="shared" si="7"/>
        <v>0</v>
      </c>
    </row>
    <row r="14" spans="1:67">
      <c r="A14" t="s">
        <v>14</v>
      </c>
      <c r="C14" s="12"/>
      <c r="D14" s="10"/>
      <c r="E14" s="10"/>
      <c r="F14" s="11"/>
      <c r="G14" s="11"/>
      <c r="H14" t="s">
        <v>4</v>
      </c>
      <c r="I14" s="10"/>
      <c r="J14" s="10"/>
      <c r="K14" s="10"/>
      <c r="L14" s="11"/>
      <c r="M14" s="11"/>
      <c r="N14" t="s">
        <v>4</v>
      </c>
      <c r="O14" s="10"/>
      <c r="P14" s="10"/>
      <c r="Q14" s="10"/>
      <c r="R14" s="11"/>
      <c r="S14" s="11"/>
      <c r="T14" t="s">
        <v>4</v>
      </c>
      <c r="U14" s="10"/>
      <c r="V14" s="10"/>
      <c r="W14" s="10"/>
      <c r="X14" s="12"/>
      <c r="Y14" s="11"/>
      <c r="Z14" s="11"/>
      <c r="AA14" t="s">
        <v>4</v>
      </c>
      <c r="AB14" s="12"/>
      <c r="AC14" s="12"/>
      <c r="AD14" s="10"/>
      <c r="AE14" s="10"/>
      <c r="AF14" s="10"/>
      <c r="AG14" s="11"/>
      <c r="AH14" s="11"/>
      <c r="AI14" t="s">
        <v>4</v>
      </c>
      <c r="AJ14" s="10"/>
      <c r="AK14" s="10"/>
      <c r="AL14" s="10"/>
      <c r="AM14" s="11"/>
      <c r="AN14" s="11"/>
      <c r="AO14" t="s">
        <v>4</v>
      </c>
      <c r="AP14" s="10"/>
      <c r="AQ14" s="10"/>
      <c r="AR14" s="10"/>
      <c r="AS14" s="11"/>
      <c r="AT14" s="11"/>
      <c r="AU14" t="s">
        <v>4</v>
      </c>
      <c r="AV14" s="10"/>
      <c r="AW14" s="10"/>
      <c r="AX14" s="10"/>
      <c r="AY14" s="11"/>
      <c r="AZ14" s="11"/>
      <c r="BA14" t="s">
        <v>4</v>
      </c>
      <c r="BB14" s="10"/>
      <c r="BC14" s="12"/>
      <c r="BG14">
        <f t="shared" si="0"/>
        <v>0</v>
      </c>
      <c r="BH14">
        <f t="shared" si="1"/>
        <v>0</v>
      </c>
      <c r="BI14">
        <f t="shared" si="2"/>
        <v>0</v>
      </c>
      <c r="BJ14">
        <f t="shared" si="3"/>
        <v>0</v>
      </c>
      <c r="BK14">
        <f t="shared" si="4"/>
        <v>0</v>
      </c>
      <c r="BL14">
        <f t="shared" si="5"/>
        <v>0</v>
      </c>
      <c r="BM14">
        <f t="shared" si="6"/>
        <v>0</v>
      </c>
      <c r="BN14">
        <f t="shared" si="7"/>
        <v>0</v>
      </c>
    </row>
    <row r="15" spans="1:67">
      <c r="A15" t="s">
        <v>15</v>
      </c>
      <c r="C15" s="12"/>
      <c r="D15" s="10"/>
      <c r="E15" s="10"/>
      <c r="F15" s="10"/>
      <c r="G15" s="11"/>
      <c r="H15" s="11"/>
      <c r="I15" t="s">
        <v>4</v>
      </c>
      <c r="J15" s="10"/>
      <c r="K15" s="10"/>
      <c r="L15" s="10"/>
      <c r="M15" s="11"/>
      <c r="N15" s="11"/>
      <c r="O15" t="s">
        <v>4</v>
      </c>
      <c r="P15" s="10"/>
      <c r="Q15" s="10"/>
      <c r="R15" s="10"/>
      <c r="S15" s="11"/>
      <c r="T15" s="11"/>
      <c r="U15" t="s">
        <v>4</v>
      </c>
      <c r="V15" s="10"/>
      <c r="W15" s="10"/>
      <c r="X15" s="12"/>
      <c r="Y15" s="10"/>
      <c r="Z15" s="11"/>
      <c r="AA15" s="11"/>
      <c r="AB15" s="12"/>
      <c r="AC15" s="12"/>
      <c r="AD15" t="s">
        <v>4</v>
      </c>
      <c r="AE15" s="10"/>
      <c r="AF15" s="10"/>
      <c r="AG15" s="10"/>
      <c r="AH15" s="11"/>
      <c r="AI15" s="11"/>
      <c r="AJ15" t="s">
        <v>4</v>
      </c>
      <c r="AK15" s="10"/>
      <c r="AL15" s="10"/>
      <c r="AM15" s="10"/>
      <c r="AN15" s="11"/>
      <c r="AO15" s="11"/>
      <c r="AP15" t="s">
        <v>4</v>
      </c>
      <c r="AQ15" s="10"/>
      <c r="AR15" s="10"/>
      <c r="AS15" s="10"/>
      <c r="AT15" s="11"/>
      <c r="AU15" s="11"/>
      <c r="AV15" t="s">
        <v>4</v>
      </c>
      <c r="AW15" s="10"/>
      <c r="AX15" s="10"/>
      <c r="AY15" s="10"/>
      <c r="AZ15" s="11"/>
      <c r="BA15" s="11"/>
      <c r="BB15" t="s">
        <v>4</v>
      </c>
      <c r="BC15" s="12"/>
      <c r="BG15">
        <f t="shared" si="0"/>
        <v>0</v>
      </c>
      <c r="BH15">
        <f t="shared" si="1"/>
        <v>0</v>
      </c>
      <c r="BI15">
        <f t="shared" si="2"/>
        <v>0</v>
      </c>
      <c r="BJ15">
        <f t="shared" si="3"/>
        <v>0</v>
      </c>
      <c r="BK15">
        <f t="shared" si="4"/>
        <v>0</v>
      </c>
      <c r="BL15">
        <f t="shared" si="5"/>
        <v>0</v>
      </c>
      <c r="BM15">
        <f t="shared" si="6"/>
        <v>0</v>
      </c>
      <c r="BN15">
        <f t="shared" si="7"/>
        <v>0</v>
      </c>
    </row>
    <row r="16" spans="1:67">
      <c r="A16" t="s">
        <v>16</v>
      </c>
      <c r="C16" s="12"/>
      <c r="D16" t="s">
        <v>4</v>
      </c>
      <c r="E16" s="10"/>
      <c r="F16" s="10"/>
      <c r="G16" s="10"/>
      <c r="H16" s="11"/>
      <c r="I16" s="11"/>
      <c r="J16" t="s">
        <v>4</v>
      </c>
      <c r="K16" s="10"/>
      <c r="L16" s="10"/>
      <c r="M16" s="10"/>
      <c r="N16" s="11"/>
      <c r="O16" s="11"/>
      <c r="P16" t="s">
        <v>4</v>
      </c>
      <c r="Q16" s="10"/>
      <c r="R16" s="10"/>
      <c r="S16" s="10"/>
      <c r="T16" s="11"/>
      <c r="U16" s="11"/>
      <c r="V16" t="s">
        <v>4</v>
      </c>
      <c r="W16" s="10"/>
      <c r="X16" s="12"/>
      <c r="Y16" s="10"/>
      <c r="Z16" s="10"/>
      <c r="AA16" s="11"/>
      <c r="AB16" s="12"/>
      <c r="AC16" s="12"/>
      <c r="AD16" s="11"/>
      <c r="AE16" t="s">
        <v>4</v>
      </c>
      <c r="AF16" s="10"/>
      <c r="AG16" s="10"/>
      <c r="AH16" s="10"/>
      <c r="AI16" s="11"/>
      <c r="AJ16" s="11"/>
      <c r="AK16" t="s">
        <v>4</v>
      </c>
      <c r="AL16" s="10"/>
      <c r="AM16" s="10"/>
      <c r="AN16" s="10"/>
      <c r="AO16" s="11"/>
      <c r="AP16" s="11"/>
      <c r="AQ16" t="s">
        <v>4</v>
      </c>
      <c r="AR16" s="10"/>
      <c r="AS16" s="10"/>
      <c r="AT16" s="10"/>
      <c r="AU16" s="11"/>
      <c r="AV16" s="11"/>
      <c r="AW16" t="s">
        <v>4</v>
      </c>
      <c r="AX16" s="10"/>
      <c r="AY16" s="10"/>
      <c r="AZ16" s="10"/>
      <c r="BA16" s="11"/>
      <c r="BB16" s="11"/>
      <c r="BC16" s="12"/>
      <c r="BG16">
        <f t="shared" si="0"/>
        <v>0</v>
      </c>
      <c r="BH16">
        <f t="shared" si="1"/>
        <v>0</v>
      </c>
      <c r="BI16">
        <f t="shared" si="2"/>
        <v>0</v>
      </c>
      <c r="BJ16">
        <f t="shared" si="3"/>
        <v>0</v>
      </c>
      <c r="BK16">
        <f t="shared" si="4"/>
        <v>0</v>
      </c>
      <c r="BL16">
        <f t="shared" si="5"/>
        <v>0</v>
      </c>
      <c r="BM16">
        <f t="shared" si="6"/>
        <v>0</v>
      </c>
      <c r="BN16">
        <f t="shared" si="7"/>
        <v>0</v>
      </c>
    </row>
    <row r="17" spans="1:66">
      <c r="A17" t="s">
        <v>17</v>
      </c>
      <c r="C17" s="12"/>
      <c r="D17" s="11"/>
      <c r="E17" t="s">
        <v>4</v>
      </c>
      <c r="F17" s="10"/>
      <c r="G17" s="10"/>
      <c r="H17" s="10"/>
      <c r="I17" s="11"/>
      <c r="J17" s="11"/>
      <c r="K17" t="s">
        <v>4</v>
      </c>
      <c r="L17" s="10"/>
      <c r="M17" s="10"/>
      <c r="N17" s="10"/>
      <c r="O17" s="11"/>
      <c r="P17" s="11"/>
      <c r="Q17" t="s">
        <v>4</v>
      </c>
      <c r="R17" s="10"/>
      <c r="S17" s="10"/>
      <c r="T17" s="10"/>
      <c r="U17" s="11"/>
      <c r="V17" s="11"/>
      <c r="W17" t="s">
        <v>4</v>
      </c>
      <c r="X17" s="12"/>
      <c r="Y17" s="10"/>
      <c r="Z17" s="10"/>
      <c r="AA17" s="10"/>
      <c r="AB17" s="12"/>
      <c r="AC17" s="12"/>
      <c r="AD17" s="11"/>
      <c r="AE17" s="11"/>
      <c r="AF17" t="s">
        <v>4</v>
      </c>
      <c r="AG17" s="10"/>
      <c r="AH17" s="10"/>
      <c r="AI17" s="10"/>
      <c r="AJ17" s="11"/>
      <c r="AK17" s="11"/>
      <c r="AL17" t="s">
        <v>4</v>
      </c>
      <c r="AM17" s="10"/>
      <c r="AN17" s="10"/>
      <c r="AO17" s="10"/>
      <c r="AP17" s="11"/>
      <c r="AQ17" s="11"/>
      <c r="AR17" t="s">
        <v>4</v>
      </c>
      <c r="AS17" s="10"/>
      <c r="AT17" s="10"/>
      <c r="AU17" s="10"/>
      <c r="AV17" s="11"/>
      <c r="AW17" s="11"/>
      <c r="AX17" t="s">
        <v>4</v>
      </c>
      <c r="AY17" s="10"/>
      <c r="AZ17" s="10"/>
      <c r="BA17" s="10"/>
      <c r="BB17" s="11"/>
      <c r="BC17" s="12"/>
      <c r="BG17">
        <f t="shared" si="0"/>
        <v>0</v>
      </c>
      <c r="BH17">
        <f t="shared" si="1"/>
        <v>0</v>
      </c>
      <c r="BI17">
        <f t="shared" si="2"/>
        <v>0</v>
      </c>
      <c r="BJ17">
        <f t="shared" si="3"/>
        <v>0</v>
      </c>
      <c r="BK17">
        <f t="shared" si="4"/>
        <v>0</v>
      </c>
      <c r="BL17">
        <f t="shared" si="5"/>
        <v>0</v>
      </c>
      <c r="BM17">
        <f t="shared" si="6"/>
        <v>0</v>
      </c>
      <c r="BN17">
        <f t="shared" si="7"/>
        <v>0</v>
      </c>
    </row>
    <row r="18" spans="1:66">
      <c r="A18" t="s">
        <v>18</v>
      </c>
      <c r="C18" s="12"/>
      <c r="D18" s="11"/>
      <c r="E18" s="11"/>
      <c r="F18" t="s">
        <v>4</v>
      </c>
      <c r="G18" s="10"/>
      <c r="H18" s="10"/>
      <c r="I18" s="10"/>
      <c r="J18" s="11"/>
      <c r="K18" s="11"/>
      <c r="L18" t="s">
        <v>4</v>
      </c>
      <c r="M18" s="10"/>
      <c r="N18" s="10"/>
      <c r="O18" s="10"/>
      <c r="P18" s="11"/>
      <c r="Q18" s="11"/>
      <c r="R18" t="s">
        <v>4</v>
      </c>
      <c r="S18" s="10"/>
      <c r="T18" s="10"/>
      <c r="U18" s="10"/>
      <c r="V18" s="11"/>
      <c r="W18" s="11"/>
      <c r="X18" s="12"/>
      <c r="Y18" t="s">
        <v>4</v>
      </c>
      <c r="Z18" s="10"/>
      <c r="AA18" s="10"/>
      <c r="AB18" s="12"/>
      <c r="AC18" s="12"/>
      <c r="AD18" s="10"/>
      <c r="AE18" s="11"/>
      <c r="AF18" s="11"/>
      <c r="AG18" t="s">
        <v>4</v>
      </c>
      <c r="AH18" s="10"/>
      <c r="AI18" s="10"/>
      <c r="AJ18" s="10"/>
      <c r="AK18" s="11"/>
      <c r="AL18" s="11"/>
      <c r="AM18" t="s">
        <v>4</v>
      </c>
      <c r="AN18" s="10"/>
      <c r="AO18" s="10"/>
      <c r="AP18" s="10"/>
      <c r="AQ18" s="11"/>
      <c r="AR18" s="11"/>
      <c r="AS18" t="s">
        <v>4</v>
      </c>
      <c r="AT18" s="10"/>
      <c r="AU18" s="10"/>
      <c r="AV18" s="10"/>
      <c r="AW18" s="11"/>
      <c r="AX18" s="11"/>
      <c r="AY18" t="s">
        <v>4</v>
      </c>
      <c r="AZ18" s="10"/>
      <c r="BA18" s="10"/>
      <c r="BB18" s="10"/>
      <c r="BC18" s="12"/>
      <c r="BG18">
        <f t="shared" si="0"/>
        <v>0</v>
      </c>
      <c r="BH18">
        <f t="shared" si="1"/>
        <v>0</v>
      </c>
      <c r="BI18">
        <f t="shared" si="2"/>
        <v>0</v>
      </c>
      <c r="BJ18">
        <f t="shared" si="3"/>
        <v>0</v>
      </c>
      <c r="BK18">
        <f t="shared" si="4"/>
        <v>0</v>
      </c>
      <c r="BL18">
        <f t="shared" si="5"/>
        <v>0</v>
      </c>
      <c r="BM18">
        <f t="shared" si="6"/>
        <v>0</v>
      </c>
      <c r="BN18">
        <f t="shared" si="7"/>
        <v>0</v>
      </c>
    </row>
    <row r="19" spans="1:66">
      <c r="A19" t="s">
        <v>19</v>
      </c>
      <c r="C19" s="12"/>
      <c r="D19" s="10"/>
      <c r="E19" s="11"/>
      <c r="F19" s="11"/>
      <c r="G19" t="s">
        <v>4</v>
      </c>
      <c r="H19" s="10"/>
      <c r="I19" s="10"/>
      <c r="J19" s="10"/>
      <c r="K19" s="11"/>
      <c r="L19" s="11"/>
      <c r="M19" t="s">
        <v>4</v>
      </c>
      <c r="N19" s="10"/>
      <c r="O19" s="10"/>
      <c r="P19" s="10"/>
      <c r="Q19" s="11"/>
      <c r="R19" s="11"/>
      <c r="S19" t="s">
        <v>4</v>
      </c>
      <c r="T19" s="10"/>
      <c r="U19" s="10"/>
      <c r="V19" s="10"/>
      <c r="W19" s="11"/>
      <c r="X19" s="12"/>
      <c r="Y19" s="11"/>
      <c r="Z19" t="s">
        <v>4</v>
      </c>
      <c r="AA19" s="10"/>
      <c r="AB19" s="12"/>
      <c r="AC19" s="12"/>
      <c r="AD19" s="10"/>
      <c r="AE19" s="10"/>
      <c r="AF19" s="11"/>
      <c r="AG19" s="11"/>
      <c r="AH19" t="s">
        <v>4</v>
      </c>
      <c r="AI19" s="10"/>
      <c r="AJ19" s="10"/>
      <c r="AK19" s="10"/>
      <c r="AL19" s="11"/>
      <c r="AM19" s="11"/>
      <c r="AN19" t="s">
        <v>4</v>
      </c>
      <c r="AO19" s="10"/>
      <c r="AP19" s="10"/>
      <c r="AQ19" s="10"/>
      <c r="AR19" s="11"/>
      <c r="AS19" s="11"/>
      <c r="AT19" t="s">
        <v>4</v>
      </c>
      <c r="AU19" s="10"/>
      <c r="AV19" s="10"/>
      <c r="AW19" s="10"/>
      <c r="AX19" s="11"/>
      <c r="AY19" s="11"/>
      <c r="AZ19" t="s">
        <v>4</v>
      </c>
      <c r="BA19" s="10"/>
      <c r="BB19" s="10"/>
      <c r="BC19" s="12"/>
      <c r="BG19">
        <f t="shared" si="0"/>
        <v>0</v>
      </c>
      <c r="BH19">
        <f t="shared" si="1"/>
        <v>0</v>
      </c>
      <c r="BI19">
        <f t="shared" si="2"/>
        <v>0</v>
      </c>
      <c r="BJ19">
        <f t="shared" si="3"/>
        <v>0</v>
      </c>
      <c r="BK19">
        <f t="shared" si="4"/>
        <v>0</v>
      </c>
      <c r="BL19">
        <f t="shared" si="5"/>
        <v>0</v>
      </c>
      <c r="BM19">
        <f t="shared" si="6"/>
        <v>0</v>
      </c>
      <c r="BN19">
        <f t="shared" si="7"/>
        <v>0</v>
      </c>
    </row>
    <row r="20" spans="1:66">
      <c r="A20" t="s">
        <v>20</v>
      </c>
      <c r="C20" s="12"/>
      <c r="D20" s="10"/>
      <c r="E20" s="10"/>
      <c r="F20" s="11"/>
      <c r="G20" s="11"/>
      <c r="H20" t="s">
        <v>4</v>
      </c>
      <c r="I20" s="10"/>
      <c r="J20" s="10"/>
      <c r="K20" s="10"/>
      <c r="L20" s="11"/>
      <c r="M20" s="11"/>
      <c r="N20" t="s">
        <v>4</v>
      </c>
      <c r="O20" s="10"/>
      <c r="P20" s="10"/>
      <c r="Q20" s="10"/>
      <c r="R20" s="11"/>
      <c r="S20" s="11"/>
      <c r="T20" t="s">
        <v>4</v>
      </c>
      <c r="U20" s="10"/>
      <c r="V20" s="10"/>
      <c r="W20" s="10"/>
      <c r="X20" s="12"/>
      <c r="Y20" s="11"/>
      <c r="Z20" s="11"/>
      <c r="AA20" t="s">
        <v>4</v>
      </c>
      <c r="AB20" s="12"/>
      <c r="AC20" s="12"/>
      <c r="AD20" s="10"/>
      <c r="AE20" s="10"/>
      <c r="AF20" s="10"/>
      <c r="AG20" s="11"/>
      <c r="AH20" s="11"/>
      <c r="AI20" t="s">
        <v>4</v>
      </c>
      <c r="AJ20" s="10"/>
      <c r="AK20" s="10"/>
      <c r="AL20" s="10"/>
      <c r="AM20" s="11"/>
      <c r="AN20" s="11"/>
      <c r="AO20" t="s">
        <v>4</v>
      </c>
      <c r="AP20" s="10"/>
      <c r="AQ20" s="10"/>
      <c r="AR20" s="10"/>
      <c r="AS20" s="11"/>
      <c r="AT20" s="11"/>
      <c r="AU20" t="s">
        <v>4</v>
      </c>
      <c r="AV20" s="10"/>
      <c r="AW20" s="10"/>
      <c r="AX20" s="10"/>
      <c r="AY20" s="11"/>
      <c r="AZ20" s="11"/>
      <c r="BA20" t="s">
        <v>4</v>
      </c>
      <c r="BB20" s="10"/>
      <c r="BC20" s="12"/>
      <c r="BG20">
        <f t="shared" si="0"/>
        <v>0</v>
      </c>
      <c r="BH20">
        <f t="shared" si="1"/>
        <v>0</v>
      </c>
      <c r="BI20">
        <f t="shared" si="2"/>
        <v>0</v>
      </c>
      <c r="BJ20">
        <f t="shared" si="3"/>
        <v>0</v>
      </c>
      <c r="BK20">
        <f t="shared" si="4"/>
        <v>0</v>
      </c>
      <c r="BL20">
        <f t="shared" si="5"/>
        <v>0</v>
      </c>
      <c r="BM20">
        <f t="shared" si="6"/>
        <v>0</v>
      </c>
      <c r="BN20">
        <f t="shared" si="7"/>
        <v>0</v>
      </c>
    </row>
    <row r="21" spans="1:66">
      <c r="A21" t="s">
        <v>21</v>
      </c>
      <c r="C21" s="12"/>
      <c r="D21" s="10"/>
      <c r="E21" s="10"/>
      <c r="F21" s="10"/>
      <c r="G21" s="11"/>
      <c r="H21" s="11"/>
      <c r="I21" t="s">
        <v>4</v>
      </c>
      <c r="J21" s="10"/>
      <c r="K21" s="10"/>
      <c r="L21" s="10"/>
      <c r="M21" s="11"/>
      <c r="N21" s="11"/>
      <c r="O21" t="s">
        <v>4</v>
      </c>
      <c r="P21" s="10"/>
      <c r="Q21" s="10"/>
      <c r="R21" s="10"/>
      <c r="S21" s="11"/>
      <c r="T21" s="11"/>
      <c r="U21" t="s">
        <v>4</v>
      </c>
      <c r="V21" s="10"/>
      <c r="W21" s="10"/>
      <c r="X21" s="12"/>
      <c r="Y21" s="10"/>
      <c r="Z21" s="11"/>
      <c r="AA21" s="11"/>
      <c r="AB21" s="12"/>
      <c r="AC21" s="12"/>
      <c r="AD21" t="s">
        <v>4</v>
      </c>
      <c r="AE21" s="10"/>
      <c r="AF21" s="10"/>
      <c r="AG21" s="10"/>
      <c r="AH21" s="11"/>
      <c r="AI21" s="11"/>
      <c r="AJ21" t="s">
        <v>4</v>
      </c>
      <c r="AK21" s="10"/>
      <c r="AL21" s="10"/>
      <c r="AM21" s="10"/>
      <c r="AN21" s="11"/>
      <c r="AO21" s="11"/>
      <c r="AP21" t="s">
        <v>4</v>
      </c>
      <c r="AQ21" s="10"/>
      <c r="AR21" s="10"/>
      <c r="AS21" s="10"/>
      <c r="AT21" s="11"/>
      <c r="AU21" s="11"/>
      <c r="AV21" t="s">
        <v>4</v>
      </c>
      <c r="AW21" s="10"/>
      <c r="AX21" s="10"/>
      <c r="AY21" s="10"/>
      <c r="AZ21" s="11"/>
      <c r="BA21" s="11"/>
      <c r="BB21" t="s">
        <v>4</v>
      </c>
      <c r="BC21" s="12"/>
      <c r="BG21">
        <f t="shared" si="0"/>
        <v>0</v>
      </c>
      <c r="BH21">
        <f t="shared" si="1"/>
        <v>0</v>
      </c>
      <c r="BI21">
        <f t="shared" si="2"/>
        <v>0</v>
      </c>
      <c r="BJ21">
        <f t="shared" si="3"/>
        <v>0</v>
      </c>
      <c r="BK21">
        <f t="shared" si="4"/>
        <v>0</v>
      </c>
      <c r="BL21">
        <f t="shared" si="5"/>
        <v>0</v>
      </c>
      <c r="BM21">
        <f t="shared" si="6"/>
        <v>0</v>
      </c>
      <c r="BN21">
        <f t="shared" si="7"/>
        <v>0</v>
      </c>
    </row>
    <row r="22" spans="1:66">
      <c r="A22" t="s">
        <v>22</v>
      </c>
      <c r="C22" s="12"/>
      <c r="D22" t="s">
        <v>4</v>
      </c>
      <c r="E22" s="10"/>
      <c r="F22" s="10"/>
      <c r="G22" s="10"/>
      <c r="H22" s="11"/>
      <c r="I22" s="11"/>
      <c r="J22" t="s">
        <v>4</v>
      </c>
      <c r="K22" s="10"/>
      <c r="L22" s="10"/>
      <c r="M22" s="10"/>
      <c r="N22" s="11"/>
      <c r="O22" s="11"/>
      <c r="P22" t="s">
        <v>4</v>
      </c>
      <c r="Q22" s="10"/>
      <c r="R22" s="10"/>
      <c r="S22" s="10"/>
      <c r="T22" s="11"/>
      <c r="U22" s="11"/>
      <c r="V22" t="s">
        <v>4</v>
      </c>
      <c r="W22" s="10"/>
      <c r="X22" s="12"/>
      <c r="Y22" s="10"/>
      <c r="Z22" s="10"/>
      <c r="AA22" s="11"/>
      <c r="AB22" s="12"/>
      <c r="AC22" s="12"/>
      <c r="AD22" s="11"/>
      <c r="AE22" t="s">
        <v>4</v>
      </c>
      <c r="AF22" s="10"/>
      <c r="AG22" s="10"/>
      <c r="AH22" s="10"/>
      <c r="AI22" s="11"/>
      <c r="AJ22" s="11"/>
      <c r="AK22" t="s">
        <v>4</v>
      </c>
      <c r="AL22" s="10"/>
      <c r="AM22" s="10"/>
      <c r="AN22" s="10"/>
      <c r="AO22" s="11"/>
      <c r="AP22" s="11"/>
      <c r="AQ22" t="s">
        <v>4</v>
      </c>
      <c r="AR22" s="10"/>
      <c r="AS22" s="10"/>
      <c r="AT22" s="10"/>
      <c r="AU22" s="11"/>
      <c r="AV22" s="11"/>
      <c r="AW22" t="s">
        <v>4</v>
      </c>
      <c r="AX22" s="10"/>
      <c r="AY22" s="10"/>
      <c r="AZ22" s="10"/>
      <c r="BA22" s="11"/>
      <c r="BB22" s="11"/>
      <c r="BC22" s="12"/>
      <c r="BG22">
        <f t="shared" si="0"/>
        <v>0</v>
      </c>
      <c r="BH22">
        <f t="shared" si="1"/>
        <v>0</v>
      </c>
      <c r="BI22">
        <f t="shared" si="2"/>
        <v>0</v>
      </c>
      <c r="BJ22">
        <f t="shared" si="3"/>
        <v>0</v>
      </c>
      <c r="BK22">
        <f t="shared" si="4"/>
        <v>0</v>
      </c>
      <c r="BL22">
        <f t="shared" si="5"/>
        <v>0</v>
      </c>
      <c r="BM22">
        <f t="shared" si="6"/>
        <v>0</v>
      </c>
      <c r="BN22">
        <f t="shared" si="7"/>
        <v>0</v>
      </c>
    </row>
    <row r="23" spans="1:66">
      <c r="A23" t="s">
        <v>23</v>
      </c>
      <c r="C23" s="12"/>
      <c r="D23" s="11"/>
      <c r="E23" t="s">
        <v>4</v>
      </c>
      <c r="F23" s="10"/>
      <c r="G23" s="10"/>
      <c r="H23" s="10"/>
      <c r="I23" s="11"/>
      <c r="J23" s="11"/>
      <c r="K23" t="s">
        <v>4</v>
      </c>
      <c r="L23" s="10"/>
      <c r="M23" s="10"/>
      <c r="N23" s="10"/>
      <c r="O23" s="11"/>
      <c r="P23" s="11"/>
      <c r="Q23" t="s">
        <v>4</v>
      </c>
      <c r="R23" s="10"/>
      <c r="S23" s="10"/>
      <c r="T23" s="10"/>
      <c r="U23" s="11"/>
      <c r="V23" s="11"/>
      <c r="W23" t="s">
        <v>4</v>
      </c>
      <c r="X23" s="12"/>
      <c r="Y23" s="10"/>
      <c r="Z23" s="10"/>
      <c r="AA23" s="10"/>
      <c r="AB23" s="12"/>
      <c r="AC23" s="12"/>
      <c r="AD23" s="11"/>
      <c r="AE23" s="11"/>
      <c r="AF23" t="s">
        <v>4</v>
      </c>
      <c r="AG23" s="10"/>
      <c r="AH23" s="10"/>
      <c r="AI23" s="10"/>
      <c r="AJ23" s="11"/>
      <c r="AK23" s="11"/>
      <c r="AL23" t="s">
        <v>4</v>
      </c>
      <c r="AM23" s="10"/>
      <c r="AN23" s="10"/>
      <c r="AO23" s="10"/>
      <c r="AP23" s="11"/>
      <c r="AQ23" s="11"/>
      <c r="AR23" t="s">
        <v>4</v>
      </c>
      <c r="AS23" s="10"/>
      <c r="AT23" s="10"/>
      <c r="AU23" s="10"/>
      <c r="AV23" s="11"/>
      <c r="AW23" s="11"/>
      <c r="AX23" t="s">
        <v>4</v>
      </c>
      <c r="AY23" s="10"/>
      <c r="AZ23" s="10"/>
      <c r="BA23" s="10"/>
      <c r="BB23" s="11"/>
      <c r="BC23" s="12"/>
      <c r="BG23">
        <f t="shared" si="0"/>
        <v>0</v>
      </c>
      <c r="BH23">
        <f t="shared" si="1"/>
        <v>0</v>
      </c>
      <c r="BI23">
        <f t="shared" si="2"/>
        <v>0</v>
      </c>
      <c r="BJ23">
        <f t="shared" si="3"/>
        <v>0</v>
      </c>
      <c r="BK23">
        <f t="shared" si="4"/>
        <v>0</v>
      </c>
      <c r="BL23">
        <f t="shared" si="5"/>
        <v>0</v>
      </c>
      <c r="BM23">
        <f t="shared" si="6"/>
        <v>0</v>
      </c>
      <c r="BN23">
        <f t="shared" si="7"/>
        <v>0</v>
      </c>
    </row>
    <row r="24" spans="1:66">
      <c r="A24" t="s">
        <v>24</v>
      </c>
      <c r="C24" s="12"/>
      <c r="D24" s="11"/>
      <c r="E24" s="11"/>
      <c r="F24" t="s">
        <v>4</v>
      </c>
      <c r="G24" s="10"/>
      <c r="H24" s="10"/>
      <c r="I24" s="10"/>
      <c r="J24" s="11"/>
      <c r="K24" s="11"/>
      <c r="L24" t="s">
        <v>4</v>
      </c>
      <c r="M24" s="10"/>
      <c r="N24" s="10"/>
      <c r="O24" s="10"/>
      <c r="P24" s="11"/>
      <c r="Q24" s="11"/>
      <c r="R24" t="s">
        <v>4</v>
      </c>
      <c r="S24" s="10"/>
      <c r="T24" s="10"/>
      <c r="U24" s="10"/>
      <c r="V24" s="11"/>
      <c r="W24" s="11"/>
      <c r="X24" s="12"/>
      <c r="Y24" t="s">
        <v>4</v>
      </c>
      <c r="Z24" s="10"/>
      <c r="AA24" s="10"/>
      <c r="AB24" s="12"/>
      <c r="AC24" s="12"/>
      <c r="AD24" s="10"/>
      <c r="AE24" s="11"/>
      <c r="AF24" s="11"/>
      <c r="AG24" t="s">
        <v>4</v>
      </c>
      <c r="AH24" s="10"/>
      <c r="AI24" s="10"/>
      <c r="AJ24" s="10"/>
      <c r="AK24" s="11"/>
      <c r="AL24" s="11"/>
      <c r="AM24" t="s">
        <v>4</v>
      </c>
      <c r="AN24" s="10"/>
      <c r="AO24" s="10"/>
      <c r="AP24" s="10"/>
      <c r="AQ24" s="11"/>
      <c r="AR24" s="11"/>
      <c r="AS24" t="s">
        <v>4</v>
      </c>
      <c r="AT24" s="10"/>
      <c r="AU24" s="10"/>
      <c r="AV24" s="10"/>
      <c r="AW24" s="11"/>
      <c r="AX24" s="11"/>
      <c r="AY24" t="s">
        <v>4</v>
      </c>
      <c r="AZ24" s="10"/>
      <c r="BA24" s="10"/>
      <c r="BB24" s="10"/>
      <c r="BC24" s="12"/>
      <c r="BG24">
        <f t="shared" si="0"/>
        <v>0</v>
      </c>
      <c r="BH24">
        <f t="shared" si="1"/>
        <v>0</v>
      </c>
      <c r="BI24">
        <f t="shared" si="2"/>
        <v>0</v>
      </c>
      <c r="BJ24">
        <f t="shared" si="3"/>
        <v>0</v>
      </c>
      <c r="BK24">
        <f t="shared" si="4"/>
        <v>0</v>
      </c>
      <c r="BL24">
        <f t="shared" si="5"/>
        <v>0</v>
      </c>
      <c r="BM24">
        <f t="shared" si="6"/>
        <v>0</v>
      </c>
      <c r="BN24">
        <f t="shared" si="7"/>
        <v>0</v>
      </c>
    </row>
    <row r="25" spans="1:66">
      <c r="A25" t="s">
        <v>25</v>
      </c>
      <c r="C25" s="12"/>
      <c r="D25" s="10"/>
      <c r="E25" s="11"/>
      <c r="F25" s="11"/>
      <c r="G25" t="s">
        <v>4</v>
      </c>
      <c r="H25" s="10"/>
      <c r="I25" s="10"/>
      <c r="J25" s="10"/>
      <c r="K25" s="11"/>
      <c r="L25" s="11"/>
      <c r="M25" t="s">
        <v>4</v>
      </c>
      <c r="N25" s="10"/>
      <c r="O25" s="10"/>
      <c r="P25" s="10"/>
      <c r="Q25" s="11"/>
      <c r="R25" s="11"/>
      <c r="S25" t="s">
        <v>4</v>
      </c>
      <c r="T25" s="10"/>
      <c r="U25" s="10"/>
      <c r="V25" s="10"/>
      <c r="W25" s="11"/>
      <c r="X25" s="12"/>
      <c r="Y25" s="11"/>
      <c r="Z25" t="s">
        <v>4</v>
      </c>
      <c r="AA25" s="10"/>
      <c r="AB25" s="12"/>
      <c r="AC25" s="12"/>
      <c r="AD25" s="10"/>
      <c r="AE25" s="10"/>
      <c r="AF25" s="11"/>
      <c r="AG25" s="11"/>
      <c r="AH25" t="s">
        <v>4</v>
      </c>
      <c r="AI25" s="10"/>
      <c r="AJ25" s="10"/>
      <c r="AK25" s="10"/>
      <c r="AL25" s="11"/>
      <c r="AM25" s="11"/>
      <c r="AN25" t="s">
        <v>4</v>
      </c>
      <c r="AO25" s="10"/>
      <c r="AP25" s="10"/>
      <c r="AQ25" s="10"/>
      <c r="AR25" s="11"/>
      <c r="AS25" s="11"/>
      <c r="AT25" t="s">
        <v>4</v>
      </c>
      <c r="AU25" s="10"/>
      <c r="AV25" s="10"/>
      <c r="AW25" s="10"/>
      <c r="AX25" s="11"/>
      <c r="AY25" s="11"/>
      <c r="AZ25" t="s">
        <v>4</v>
      </c>
      <c r="BA25" s="10"/>
      <c r="BB25" s="10"/>
      <c r="BC25" s="12"/>
      <c r="BG25">
        <f t="shared" si="0"/>
        <v>0</v>
      </c>
      <c r="BH25">
        <f t="shared" si="1"/>
        <v>0</v>
      </c>
      <c r="BI25">
        <f t="shared" si="2"/>
        <v>0</v>
      </c>
      <c r="BJ25">
        <f t="shared" si="3"/>
        <v>0</v>
      </c>
      <c r="BK25">
        <f t="shared" si="4"/>
        <v>0</v>
      </c>
      <c r="BL25">
        <f t="shared" si="5"/>
        <v>0</v>
      </c>
      <c r="BM25">
        <f t="shared" si="6"/>
        <v>0</v>
      </c>
      <c r="BN25">
        <f t="shared" si="7"/>
        <v>0</v>
      </c>
    </row>
    <row r="26" spans="1:66">
      <c r="A26" t="s">
        <v>26</v>
      </c>
      <c r="C26" s="12"/>
      <c r="D26" s="10"/>
      <c r="E26" s="10"/>
      <c r="F26" s="11"/>
      <c r="G26" s="11"/>
      <c r="H26" t="s">
        <v>4</v>
      </c>
      <c r="I26" s="10"/>
      <c r="J26" s="10"/>
      <c r="K26" s="10"/>
      <c r="L26" s="11"/>
      <c r="M26" s="11"/>
      <c r="N26" t="s">
        <v>4</v>
      </c>
      <c r="O26" s="10"/>
      <c r="P26" s="10"/>
      <c r="Q26" s="10"/>
      <c r="R26" s="11"/>
      <c r="S26" s="11"/>
      <c r="T26" t="s">
        <v>4</v>
      </c>
      <c r="U26" s="10"/>
      <c r="V26" s="10"/>
      <c r="W26" s="10"/>
      <c r="X26" s="12"/>
      <c r="Y26" s="11"/>
      <c r="Z26" s="11"/>
      <c r="AA26" t="s">
        <v>4</v>
      </c>
      <c r="AB26" s="12"/>
      <c r="AC26" s="12"/>
      <c r="AD26" s="10"/>
      <c r="AE26" s="10"/>
      <c r="AF26" s="10"/>
      <c r="AG26" s="11"/>
      <c r="AH26" s="11"/>
      <c r="AI26" t="s">
        <v>4</v>
      </c>
      <c r="AJ26" s="10"/>
      <c r="AK26" s="10"/>
      <c r="AL26" s="10"/>
      <c r="AM26" s="11"/>
      <c r="AN26" s="11"/>
      <c r="AO26" t="s">
        <v>4</v>
      </c>
      <c r="AP26" s="10"/>
      <c r="AQ26" s="10"/>
      <c r="AR26" s="10"/>
      <c r="AS26" s="11"/>
      <c r="AT26" s="11"/>
      <c r="AU26" t="s">
        <v>4</v>
      </c>
      <c r="AV26" s="10"/>
      <c r="AW26" s="10"/>
      <c r="AX26" s="10"/>
      <c r="AY26" s="11"/>
      <c r="AZ26" s="11"/>
      <c r="BA26" t="s">
        <v>4</v>
      </c>
      <c r="BB26" s="10"/>
      <c r="BC26" s="12"/>
      <c r="BG26">
        <f t="shared" si="0"/>
        <v>0</v>
      </c>
      <c r="BH26">
        <f t="shared" si="1"/>
        <v>0</v>
      </c>
      <c r="BI26">
        <f t="shared" si="2"/>
        <v>0</v>
      </c>
      <c r="BJ26">
        <f t="shared" si="3"/>
        <v>0</v>
      </c>
      <c r="BK26">
        <f t="shared" si="4"/>
        <v>0</v>
      </c>
      <c r="BL26">
        <f t="shared" si="5"/>
        <v>0</v>
      </c>
      <c r="BM26">
        <f t="shared" si="6"/>
        <v>0</v>
      </c>
      <c r="BN26">
        <f t="shared" si="7"/>
        <v>0</v>
      </c>
    </row>
    <row r="27" spans="1:66">
      <c r="A27" t="s">
        <v>27</v>
      </c>
      <c r="C27" s="12"/>
      <c r="D27" s="10"/>
      <c r="E27" s="10"/>
      <c r="F27" s="10"/>
      <c r="G27" s="11"/>
      <c r="H27" s="11"/>
      <c r="I27" t="s">
        <v>4</v>
      </c>
      <c r="J27" s="10"/>
      <c r="K27" s="10"/>
      <c r="L27" s="10"/>
      <c r="M27" s="11"/>
      <c r="N27" s="11"/>
      <c r="O27" t="s">
        <v>4</v>
      </c>
      <c r="P27" s="10"/>
      <c r="Q27" s="10"/>
      <c r="R27" s="10"/>
      <c r="S27" s="11"/>
      <c r="T27" s="11"/>
      <c r="U27" t="s">
        <v>4</v>
      </c>
      <c r="V27" s="10"/>
      <c r="W27" s="10"/>
      <c r="X27" s="12"/>
      <c r="Y27" s="10"/>
      <c r="Z27" s="11"/>
      <c r="AA27" s="11"/>
      <c r="AB27" s="12"/>
      <c r="AC27" s="12"/>
      <c r="AD27" t="s">
        <v>4</v>
      </c>
      <c r="AE27" s="10"/>
      <c r="AF27" s="10"/>
      <c r="AG27" s="10"/>
      <c r="AH27" s="11"/>
      <c r="AI27" s="11"/>
      <c r="AJ27" t="s">
        <v>4</v>
      </c>
      <c r="AK27" s="10"/>
      <c r="AL27" s="10"/>
      <c r="AM27" s="10"/>
      <c r="AN27" s="11"/>
      <c r="AO27" s="11"/>
      <c r="AP27" t="s">
        <v>4</v>
      </c>
      <c r="AQ27" s="10"/>
      <c r="AR27" s="10"/>
      <c r="AS27" s="10"/>
      <c r="AT27" s="11"/>
      <c r="AU27" s="11"/>
      <c r="AV27" t="s">
        <v>4</v>
      </c>
      <c r="AW27" s="10"/>
      <c r="AX27" s="10"/>
      <c r="AY27" s="10"/>
      <c r="AZ27" s="11"/>
      <c r="BA27" s="11"/>
      <c r="BB27" t="s">
        <v>4</v>
      </c>
      <c r="BC27" s="12"/>
      <c r="BG27">
        <f t="shared" si="0"/>
        <v>0</v>
      </c>
      <c r="BH27">
        <f t="shared" si="1"/>
        <v>0</v>
      </c>
      <c r="BI27">
        <f t="shared" si="2"/>
        <v>0</v>
      </c>
      <c r="BJ27">
        <f t="shared" si="3"/>
        <v>0</v>
      </c>
      <c r="BK27">
        <f t="shared" si="4"/>
        <v>0</v>
      </c>
      <c r="BL27">
        <f t="shared" si="5"/>
        <v>0</v>
      </c>
      <c r="BM27">
        <f t="shared" si="6"/>
        <v>0</v>
      </c>
      <c r="BN27">
        <f t="shared" si="7"/>
        <v>0</v>
      </c>
    </row>
    <row r="28" spans="1:66">
      <c r="A28" t="s">
        <v>28</v>
      </c>
      <c r="C28" s="12"/>
      <c r="D28" t="s">
        <v>4</v>
      </c>
      <c r="E28" s="10"/>
      <c r="F28" s="10"/>
      <c r="G28" s="10"/>
      <c r="H28" s="11"/>
      <c r="I28" s="11"/>
      <c r="J28" t="s">
        <v>4</v>
      </c>
      <c r="K28" s="10"/>
      <c r="L28" s="10"/>
      <c r="M28" s="10"/>
      <c r="N28" s="11"/>
      <c r="O28" s="11"/>
      <c r="P28" t="s">
        <v>4</v>
      </c>
      <c r="Q28" s="10"/>
      <c r="R28" s="10"/>
      <c r="S28" s="10"/>
      <c r="T28" s="11"/>
      <c r="U28" s="11"/>
      <c r="V28" t="s">
        <v>4</v>
      </c>
      <c r="W28" s="10"/>
      <c r="X28" s="12"/>
      <c r="Y28" s="10"/>
      <c r="Z28" s="10"/>
      <c r="AA28" s="11"/>
      <c r="AB28" s="12"/>
      <c r="AC28" s="12"/>
      <c r="AD28" s="11"/>
      <c r="AE28" t="s">
        <v>4</v>
      </c>
      <c r="AF28" s="10"/>
      <c r="AG28" s="10"/>
      <c r="AH28" s="10"/>
      <c r="AI28" s="11"/>
      <c r="AJ28" s="11"/>
      <c r="AK28" t="s">
        <v>4</v>
      </c>
      <c r="AL28" s="10"/>
      <c r="AM28" s="10"/>
      <c r="AN28" s="10"/>
      <c r="AO28" s="11"/>
      <c r="AP28" s="11"/>
      <c r="AQ28" t="s">
        <v>4</v>
      </c>
      <c r="AR28" s="10"/>
      <c r="AS28" s="10"/>
      <c r="AT28" s="10"/>
      <c r="AU28" s="11"/>
      <c r="AV28" s="11"/>
      <c r="AW28" t="s">
        <v>4</v>
      </c>
      <c r="AX28" s="10"/>
      <c r="AY28" s="10"/>
      <c r="AZ28" s="10"/>
      <c r="BA28" s="11"/>
      <c r="BB28" s="11"/>
      <c r="BC28" s="12"/>
      <c r="BG28">
        <f t="shared" si="0"/>
        <v>0</v>
      </c>
      <c r="BH28">
        <f t="shared" si="1"/>
        <v>0</v>
      </c>
      <c r="BI28">
        <f t="shared" si="2"/>
        <v>0</v>
      </c>
      <c r="BJ28">
        <f t="shared" si="3"/>
        <v>0</v>
      </c>
      <c r="BK28">
        <f t="shared" si="4"/>
        <v>0</v>
      </c>
      <c r="BL28">
        <f t="shared" si="5"/>
        <v>0</v>
      </c>
      <c r="BM28">
        <f t="shared" si="6"/>
        <v>0</v>
      </c>
      <c r="BN28">
        <f t="shared" si="7"/>
        <v>0</v>
      </c>
    </row>
    <row r="29" spans="1:66">
      <c r="A29" t="s">
        <v>29</v>
      </c>
      <c r="C29" s="12"/>
      <c r="D29" s="11"/>
      <c r="E29" t="s">
        <v>4</v>
      </c>
      <c r="F29" s="10"/>
      <c r="G29" s="10"/>
      <c r="H29" s="10"/>
      <c r="I29" s="11"/>
      <c r="J29" s="11"/>
      <c r="K29" t="s">
        <v>4</v>
      </c>
      <c r="L29" s="10"/>
      <c r="M29" s="10"/>
      <c r="N29" s="10"/>
      <c r="O29" s="11"/>
      <c r="P29" s="11"/>
      <c r="Q29" t="s">
        <v>4</v>
      </c>
      <c r="R29" s="10"/>
      <c r="S29" s="10"/>
      <c r="T29" s="10"/>
      <c r="U29" s="11"/>
      <c r="V29" s="11"/>
      <c r="W29" t="s">
        <v>4</v>
      </c>
      <c r="X29" s="12"/>
      <c r="Y29" s="10"/>
      <c r="Z29" s="10"/>
      <c r="AA29" s="10"/>
      <c r="AB29" s="12"/>
      <c r="AC29" s="12"/>
      <c r="AD29" s="11"/>
      <c r="AE29" s="11"/>
      <c r="AF29" t="s">
        <v>4</v>
      </c>
      <c r="AG29" s="10"/>
      <c r="AH29" s="10"/>
      <c r="AI29" s="10"/>
      <c r="AJ29" s="11"/>
      <c r="AK29" s="11"/>
      <c r="AL29" t="s">
        <v>4</v>
      </c>
      <c r="AM29" s="10"/>
      <c r="AN29" s="10"/>
      <c r="AO29" s="10"/>
      <c r="AP29" s="11"/>
      <c r="AQ29" s="11"/>
      <c r="AR29" t="s">
        <v>4</v>
      </c>
      <c r="AS29" s="10"/>
      <c r="AT29" s="10"/>
      <c r="AU29" s="10"/>
      <c r="AV29" s="11"/>
      <c r="AW29" s="11"/>
      <c r="AX29" t="s">
        <v>4</v>
      </c>
      <c r="AY29" s="10"/>
      <c r="AZ29" s="10"/>
      <c r="BA29" s="10"/>
      <c r="BB29" s="11"/>
      <c r="BC29" s="12"/>
      <c r="BG29">
        <f t="shared" si="0"/>
        <v>0</v>
      </c>
      <c r="BH29">
        <f t="shared" si="1"/>
        <v>0</v>
      </c>
      <c r="BI29">
        <f t="shared" si="2"/>
        <v>0</v>
      </c>
      <c r="BJ29">
        <f t="shared" si="3"/>
        <v>0</v>
      </c>
      <c r="BK29">
        <f t="shared" si="4"/>
        <v>0</v>
      </c>
      <c r="BL29">
        <f t="shared" si="5"/>
        <v>0</v>
      </c>
      <c r="BM29">
        <f t="shared" si="6"/>
        <v>0</v>
      </c>
      <c r="BN29">
        <f t="shared" si="7"/>
        <v>0</v>
      </c>
    </row>
    <row r="30" spans="1:66">
      <c r="A30" t="s">
        <v>30</v>
      </c>
      <c r="C30" s="12"/>
      <c r="D30" s="11"/>
      <c r="E30" s="11"/>
      <c r="F30" t="s">
        <v>4</v>
      </c>
      <c r="G30" s="10"/>
      <c r="H30" s="10"/>
      <c r="I30" s="10"/>
      <c r="J30" s="11"/>
      <c r="K30" s="11"/>
      <c r="L30" t="s">
        <v>4</v>
      </c>
      <c r="M30" s="10"/>
      <c r="N30" s="10"/>
      <c r="O30" s="10"/>
      <c r="P30" s="11"/>
      <c r="Q30" s="11"/>
      <c r="R30" t="s">
        <v>4</v>
      </c>
      <c r="S30" s="10"/>
      <c r="T30" s="10"/>
      <c r="U30" s="10"/>
      <c r="V30" s="11"/>
      <c r="W30" s="11"/>
      <c r="X30" s="12"/>
      <c r="Y30" t="s">
        <v>4</v>
      </c>
      <c r="Z30" s="10"/>
      <c r="AA30" s="10"/>
      <c r="AB30" s="12"/>
      <c r="AC30" s="12"/>
      <c r="AD30" s="10"/>
      <c r="AE30" s="11"/>
      <c r="AF30" s="11"/>
      <c r="AG30" t="s">
        <v>4</v>
      </c>
      <c r="AH30" s="10"/>
      <c r="AI30" s="10"/>
      <c r="AJ30" s="10"/>
      <c r="AK30" s="11"/>
      <c r="AL30" s="11"/>
      <c r="AM30" t="s">
        <v>4</v>
      </c>
      <c r="AN30" s="10"/>
      <c r="AO30" s="10"/>
      <c r="AP30" s="10"/>
      <c r="AQ30" s="11"/>
      <c r="AR30" s="11"/>
      <c r="AS30" t="s">
        <v>4</v>
      </c>
      <c r="AT30" s="10"/>
      <c r="AU30" s="10"/>
      <c r="AV30" s="10"/>
      <c r="AW30" s="11"/>
      <c r="AX30" s="11"/>
      <c r="AY30" t="s">
        <v>4</v>
      </c>
      <c r="AZ30" s="10"/>
      <c r="BA30" s="10"/>
      <c r="BB30" s="10"/>
      <c r="BC30" s="12"/>
      <c r="BG30">
        <f t="shared" si="0"/>
        <v>0</v>
      </c>
      <c r="BH30">
        <f t="shared" si="1"/>
        <v>0</v>
      </c>
      <c r="BI30">
        <f t="shared" si="2"/>
        <v>0</v>
      </c>
      <c r="BJ30">
        <f t="shared" si="3"/>
        <v>0</v>
      </c>
      <c r="BK30">
        <f t="shared" si="4"/>
        <v>0</v>
      </c>
      <c r="BL30">
        <f t="shared" si="5"/>
        <v>0</v>
      </c>
      <c r="BM30">
        <f t="shared" si="6"/>
        <v>0</v>
      </c>
      <c r="BN30">
        <f t="shared" si="7"/>
        <v>0</v>
      </c>
    </row>
    <row r="31" spans="1:66">
      <c r="A31" t="s">
        <v>31</v>
      </c>
      <c r="C31" s="12"/>
      <c r="D31" s="10"/>
      <c r="E31" s="11"/>
      <c r="F31" s="11"/>
      <c r="G31" t="s">
        <v>4</v>
      </c>
      <c r="H31" s="10"/>
      <c r="I31" s="10"/>
      <c r="J31" s="10"/>
      <c r="K31" s="11"/>
      <c r="L31" s="11"/>
      <c r="M31" t="s">
        <v>4</v>
      </c>
      <c r="N31" s="10"/>
      <c r="O31" s="10"/>
      <c r="P31" s="10"/>
      <c r="Q31" s="11"/>
      <c r="R31" s="11"/>
      <c r="S31" t="s">
        <v>4</v>
      </c>
      <c r="T31" s="10"/>
      <c r="U31" s="10"/>
      <c r="V31" s="10"/>
      <c r="W31" s="11"/>
      <c r="X31" s="12"/>
      <c r="Y31" s="11"/>
      <c r="Z31" t="s">
        <v>4</v>
      </c>
      <c r="AA31" s="10"/>
      <c r="AB31" s="12"/>
      <c r="AC31" s="12"/>
      <c r="AD31" s="10"/>
      <c r="AE31" s="10"/>
      <c r="AF31" s="11"/>
      <c r="AG31" s="11"/>
      <c r="AH31" t="s">
        <v>4</v>
      </c>
      <c r="AI31" s="10"/>
      <c r="AJ31" s="10"/>
      <c r="AK31" s="10"/>
      <c r="AL31" s="11"/>
      <c r="AM31" s="11"/>
      <c r="AN31" t="s">
        <v>4</v>
      </c>
      <c r="AO31" s="10"/>
      <c r="AP31" s="10"/>
      <c r="AQ31" s="10"/>
      <c r="AR31" s="11"/>
      <c r="AS31" s="11"/>
      <c r="AT31" t="s">
        <v>4</v>
      </c>
      <c r="AU31" s="10"/>
      <c r="AV31" s="10"/>
      <c r="AW31" s="10"/>
      <c r="AX31" s="11"/>
      <c r="AY31" s="11"/>
      <c r="AZ31" t="s">
        <v>4</v>
      </c>
      <c r="BA31" s="10"/>
      <c r="BB31" s="10"/>
      <c r="BC31" s="12"/>
      <c r="BG31">
        <f t="shared" si="0"/>
        <v>0</v>
      </c>
      <c r="BH31">
        <f t="shared" si="1"/>
        <v>0</v>
      </c>
      <c r="BI31">
        <f t="shared" si="2"/>
        <v>0</v>
      </c>
      <c r="BJ31">
        <f t="shared" si="3"/>
        <v>0</v>
      </c>
      <c r="BK31">
        <f t="shared" si="4"/>
        <v>0</v>
      </c>
      <c r="BL31">
        <f t="shared" si="5"/>
        <v>0</v>
      </c>
      <c r="BM31">
        <f t="shared" si="6"/>
        <v>0</v>
      </c>
      <c r="BN31">
        <f t="shared" si="7"/>
        <v>0</v>
      </c>
    </row>
    <row r="32" spans="1:66">
      <c r="A32" t="s">
        <v>32</v>
      </c>
      <c r="C32" s="12"/>
      <c r="D32" s="10"/>
      <c r="E32" s="10"/>
      <c r="F32" s="11"/>
      <c r="G32" s="11"/>
      <c r="H32" t="s">
        <v>4</v>
      </c>
      <c r="I32" s="10"/>
      <c r="J32" s="10"/>
      <c r="K32" s="10"/>
      <c r="L32" s="11"/>
      <c r="M32" s="11"/>
      <c r="N32" t="s">
        <v>4</v>
      </c>
      <c r="O32" s="10"/>
      <c r="P32" s="10"/>
      <c r="Q32" s="10"/>
      <c r="R32" s="11"/>
      <c r="S32" s="11"/>
      <c r="T32" t="s">
        <v>4</v>
      </c>
      <c r="U32" s="10"/>
      <c r="V32" s="10"/>
      <c r="W32" s="10"/>
      <c r="X32" s="12"/>
      <c r="Y32" s="11"/>
      <c r="Z32" s="11"/>
      <c r="AA32" t="s">
        <v>4</v>
      </c>
      <c r="AB32" s="12"/>
      <c r="AC32" s="12"/>
      <c r="AD32" s="10"/>
      <c r="AE32" s="10"/>
      <c r="AF32" s="10"/>
      <c r="AG32" s="11"/>
      <c r="AH32" s="11"/>
      <c r="AI32" t="s">
        <v>4</v>
      </c>
      <c r="AJ32" s="10"/>
      <c r="AK32" s="10"/>
      <c r="AL32" s="10"/>
      <c r="AM32" s="11"/>
      <c r="AN32" s="11"/>
      <c r="AO32" t="s">
        <v>4</v>
      </c>
      <c r="AP32" s="10"/>
      <c r="AQ32" s="10"/>
      <c r="AR32" s="10"/>
      <c r="AS32" s="11"/>
      <c r="AT32" s="11"/>
      <c r="AU32" t="s">
        <v>4</v>
      </c>
      <c r="AV32" s="10"/>
      <c r="AW32" s="10"/>
      <c r="AX32" s="10"/>
      <c r="AY32" s="11"/>
      <c r="AZ32" s="11"/>
      <c r="BA32" t="s">
        <v>4</v>
      </c>
      <c r="BB32" s="10"/>
      <c r="BC32" s="12"/>
      <c r="BG32">
        <f t="shared" si="0"/>
        <v>0</v>
      </c>
      <c r="BH32">
        <f t="shared" si="1"/>
        <v>0</v>
      </c>
      <c r="BI32">
        <f t="shared" si="2"/>
        <v>0</v>
      </c>
      <c r="BJ32">
        <f t="shared" si="3"/>
        <v>0</v>
      </c>
      <c r="BK32">
        <f t="shared" si="4"/>
        <v>0</v>
      </c>
      <c r="BL32">
        <f t="shared" si="5"/>
        <v>0</v>
      </c>
      <c r="BM32">
        <f t="shared" si="6"/>
        <v>0</v>
      </c>
      <c r="BN32">
        <f t="shared" si="7"/>
        <v>0</v>
      </c>
    </row>
    <row r="33" spans="1:66">
      <c r="A33" t="s">
        <v>33</v>
      </c>
      <c r="C33" s="12"/>
      <c r="D33" s="10"/>
      <c r="E33" s="10"/>
      <c r="F33" s="10"/>
      <c r="G33" s="11"/>
      <c r="H33" s="11"/>
      <c r="I33" t="s">
        <v>4</v>
      </c>
      <c r="J33" s="10"/>
      <c r="K33" s="10"/>
      <c r="L33" s="10"/>
      <c r="M33" s="11"/>
      <c r="N33" s="11"/>
      <c r="O33" t="s">
        <v>4</v>
      </c>
      <c r="P33" s="10"/>
      <c r="Q33" s="10"/>
      <c r="R33" s="10"/>
      <c r="S33" s="11"/>
      <c r="T33" s="11"/>
      <c r="U33" t="s">
        <v>4</v>
      </c>
      <c r="V33" s="10"/>
      <c r="W33" s="10"/>
      <c r="X33" s="12"/>
      <c r="Y33" s="10"/>
      <c r="Z33" s="11"/>
      <c r="AA33" s="11"/>
      <c r="AB33" s="12"/>
      <c r="AC33" s="12"/>
      <c r="AD33" t="s">
        <v>4</v>
      </c>
      <c r="AE33" s="10"/>
      <c r="AF33" s="10"/>
      <c r="AG33" s="10"/>
      <c r="AH33" s="11"/>
      <c r="AI33" s="11"/>
      <c r="AJ33" t="s">
        <v>4</v>
      </c>
      <c r="AK33" s="10"/>
      <c r="AL33" s="10"/>
      <c r="AM33" s="10"/>
      <c r="AN33" s="11"/>
      <c r="AO33" s="11"/>
      <c r="AP33" t="s">
        <v>4</v>
      </c>
      <c r="AQ33" s="10"/>
      <c r="AR33" s="10"/>
      <c r="AS33" s="10"/>
      <c r="AT33" s="11"/>
      <c r="AU33" s="11"/>
      <c r="AV33" t="s">
        <v>4</v>
      </c>
      <c r="AW33" s="10"/>
      <c r="AX33" s="10"/>
      <c r="AY33" s="10"/>
      <c r="AZ33" s="11"/>
      <c r="BA33" s="11"/>
      <c r="BB33" t="s">
        <v>4</v>
      </c>
      <c r="BC33" s="12"/>
      <c r="BG33">
        <f t="shared" si="0"/>
        <v>0</v>
      </c>
      <c r="BH33">
        <f t="shared" si="1"/>
        <v>0</v>
      </c>
      <c r="BI33">
        <f t="shared" si="2"/>
        <v>0</v>
      </c>
      <c r="BJ33">
        <f t="shared" si="3"/>
        <v>0</v>
      </c>
      <c r="BK33">
        <f t="shared" si="4"/>
        <v>0</v>
      </c>
      <c r="BL33">
        <f t="shared" si="5"/>
        <v>0</v>
      </c>
      <c r="BM33">
        <f t="shared" si="6"/>
        <v>0</v>
      </c>
      <c r="BN33">
        <f t="shared" si="7"/>
        <v>0</v>
      </c>
    </row>
    <row r="34" spans="1:66">
      <c r="A34" t="s">
        <v>34</v>
      </c>
      <c r="C34" s="12"/>
      <c r="D34" t="s">
        <v>4</v>
      </c>
      <c r="E34" s="10"/>
      <c r="F34" s="10"/>
      <c r="G34" s="10"/>
      <c r="H34" s="11"/>
      <c r="I34" s="11"/>
      <c r="J34" t="s">
        <v>4</v>
      </c>
      <c r="K34" s="10"/>
      <c r="L34" s="10"/>
      <c r="M34" s="10"/>
      <c r="N34" s="11"/>
      <c r="O34" s="11"/>
      <c r="P34" t="s">
        <v>4</v>
      </c>
      <c r="Q34" s="10"/>
      <c r="R34" s="10"/>
      <c r="S34" s="10"/>
      <c r="T34" s="11"/>
      <c r="U34" s="11"/>
      <c r="V34" t="s">
        <v>4</v>
      </c>
      <c r="W34" s="10"/>
      <c r="X34" s="12"/>
      <c r="Y34" s="10"/>
      <c r="Z34" s="10"/>
      <c r="AA34" s="11"/>
      <c r="AB34" s="12"/>
      <c r="AC34" s="12"/>
      <c r="AD34" s="11"/>
      <c r="AE34" t="s">
        <v>4</v>
      </c>
      <c r="AF34" s="10"/>
      <c r="AG34" s="10"/>
      <c r="AH34" s="10"/>
      <c r="AI34" s="11"/>
      <c r="AJ34" s="11"/>
      <c r="AK34" t="s">
        <v>4</v>
      </c>
      <c r="AL34" s="10"/>
      <c r="AM34" s="10"/>
      <c r="AN34" s="10"/>
      <c r="AO34" s="11"/>
      <c r="AP34" s="11"/>
      <c r="AQ34" t="s">
        <v>4</v>
      </c>
      <c r="AR34" s="10"/>
      <c r="AS34" s="10"/>
      <c r="AT34" s="10"/>
      <c r="AU34" s="11"/>
      <c r="AV34" s="11"/>
      <c r="AW34" t="s">
        <v>4</v>
      </c>
      <c r="AX34" s="10"/>
      <c r="AY34" s="10"/>
      <c r="AZ34" s="10"/>
      <c r="BA34" s="11"/>
      <c r="BB34" s="11"/>
      <c r="BC34" s="12"/>
      <c r="BG34">
        <f t="shared" si="0"/>
        <v>0</v>
      </c>
      <c r="BH34">
        <f t="shared" si="1"/>
        <v>0</v>
      </c>
      <c r="BI34">
        <f t="shared" si="2"/>
        <v>0</v>
      </c>
      <c r="BJ34">
        <f t="shared" si="3"/>
        <v>0</v>
      </c>
      <c r="BK34">
        <f t="shared" si="4"/>
        <v>0</v>
      </c>
      <c r="BL34">
        <f t="shared" si="5"/>
        <v>0</v>
      </c>
      <c r="BM34">
        <f t="shared" si="6"/>
        <v>0</v>
      </c>
      <c r="BN34">
        <f t="shared" si="7"/>
        <v>0</v>
      </c>
    </row>
    <row r="35" spans="1:66">
      <c r="A35" t="s">
        <v>35</v>
      </c>
      <c r="C35" s="12"/>
      <c r="D35" s="11"/>
      <c r="E35" t="s">
        <v>4</v>
      </c>
      <c r="F35" s="10"/>
      <c r="G35" s="10"/>
      <c r="H35" s="10"/>
      <c r="I35" s="11"/>
      <c r="J35" s="11"/>
      <c r="K35" t="s">
        <v>4</v>
      </c>
      <c r="L35" s="10"/>
      <c r="M35" s="10"/>
      <c r="N35" s="10"/>
      <c r="O35" s="11"/>
      <c r="P35" s="11"/>
      <c r="Q35" t="s">
        <v>4</v>
      </c>
      <c r="R35" s="10"/>
      <c r="S35" s="10"/>
      <c r="T35" s="10"/>
      <c r="U35" s="11"/>
      <c r="V35" s="11"/>
      <c r="W35" t="s">
        <v>4</v>
      </c>
      <c r="X35" s="12"/>
      <c r="Y35" s="10"/>
      <c r="Z35" s="10"/>
      <c r="AA35" s="10"/>
      <c r="AB35" s="12"/>
      <c r="AC35" s="12"/>
      <c r="AD35" s="11"/>
      <c r="AE35" s="11"/>
      <c r="AF35" t="s">
        <v>4</v>
      </c>
      <c r="AG35" s="10"/>
      <c r="AH35" s="10"/>
      <c r="AI35" s="10"/>
      <c r="AJ35" s="11"/>
      <c r="AK35" s="11"/>
      <c r="AL35" t="s">
        <v>4</v>
      </c>
      <c r="AM35" s="10"/>
      <c r="AN35" s="10"/>
      <c r="AO35" s="10"/>
      <c r="AP35" s="11"/>
      <c r="AQ35" s="11"/>
      <c r="AR35" t="s">
        <v>4</v>
      </c>
      <c r="AS35" s="10"/>
      <c r="AT35" s="10"/>
      <c r="AU35" s="10"/>
      <c r="AV35" s="11"/>
      <c r="AW35" s="11"/>
      <c r="AX35" t="s">
        <v>4</v>
      </c>
      <c r="AY35" s="10"/>
      <c r="AZ35" s="10"/>
      <c r="BA35" s="10"/>
      <c r="BB35" s="11"/>
      <c r="BC35" s="12"/>
      <c r="BG35">
        <f t="shared" si="0"/>
        <v>0</v>
      </c>
      <c r="BH35">
        <f t="shared" si="1"/>
        <v>0</v>
      </c>
      <c r="BI35">
        <f t="shared" si="2"/>
        <v>0</v>
      </c>
      <c r="BJ35">
        <f t="shared" si="3"/>
        <v>0</v>
      </c>
      <c r="BK35">
        <f t="shared" si="4"/>
        <v>0</v>
      </c>
      <c r="BL35">
        <f t="shared" si="5"/>
        <v>0</v>
      </c>
      <c r="BM35">
        <f t="shared" si="6"/>
        <v>0</v>
      </c>
      <c r="BN35">
        <f t="shared" si="7"/>
        <v>0</v>
      </c>
    </row>
    <row r="36" spans="1:66">
      <c r="A36" t="s">
        <v>36</v>
      </c>
      <c r="C36" s="12"/>
      <c r="D36" s="11"/>
      <c r="E36" s="11"/>
      <c r="F36" t="s">
        <v>4</v>
      </c>
      <c r="G36" s="10"/>
      <c r="H36" s="10"/>
      <c r="I36" s="10"/>
      <c r="J36" s="11"/>
      <c r="K36" s="11"/>
      <c r="L36" t="s">
        <v>4</v>
      </c>
      <c r="M36" s="10"/>
      <c r="N36" s="10"/>
      <c r="O36" s="10"/>
      <c r="P36" s="11"/>
      <c r="Q36" s="11"/>
      <c r="R36" t="s">
        <v>4</v>
      </c>
      <c r="S36" s="10"/>
      <c r="T36" s="10"/>
      <c r="U36" s="10"/>
      <c r="V36" s="11"/>
      <c r="W36" s="11"/>
      <c r="X36" s="12"/>
      <c r="Y36" t="s">
        <v>4</v>
      </c>
      <c r="Z36" s="10"/>
      <c r="AA36" s="10"/>
      <c r="AB36" s="12"/>
      <c r="AC36" s="12"/>
      <c r="AD36" s="10"/>
      <c r="AE36" s="11"/>
      <c r="AF36" s="11"/>
      <c r="AG36" t="s">
        <v>4</v>
      </c>
      <c r="AH36" s="10"/>
      <c r="AI36" s="10"/>
      <c r="AJ36" s="10"/>
      <c r="AK36" s="11"/>
      <c r="AL36" s="11"/>
      <c r="AM36" t="s">
        <v>4</v>
      </c>
      <c r="AN36" s="10"/>
      <c r="AO36" s="10"/>
      <c r="AP36" s="10"/>
      <c r="AQ36" s="11"/>
      <c r="AR36" s="11"/>
      <c r="AS36" t="s">
        <v>4</v>
      </c>
      <c r="AT36" s="10"/>
      <c r="AU36" s="10"/>
      <c r="AV36" s="10"/>
      <c r="AW36" s="11"/>
      <c r="AX36" s="11"/>
      <c r="AY36" t="s">
        <v>4</v>
      </c>
      <c r="AZ36" s="10"/>
      <c r="BA36" s="10"/>
      <c r="BB36" s="10"/>
      <c r="BC36" s="12"/>
      <c r="BG36">
        <f t="shared" si="0"/>
        <v>0</v>
      </c>
      <c r="BH36">
        <f t="shared" si="1"/>
        <v>0</v>
      </c>
      <c r="BI36">
        <f t="shared" si="2"/>
        <v>0</v>
      </c>
      <c r="BJ36">
        <f t="shared" si="3"/>
        <v>0</v>
      </c>
      <c r="BK36">
        <f t="shared" si="4"/>
        <v>0</v>
      </c>
      <c r="BL36">
        <f t="shared" si="5"/>
        <v>0</v>
      </c>
      <c r="BM36">
        <f t="shared" si="6"/>
        <v>0</v>
      </c>
      <c r="BN36">
        <f t="shared" si="7"/>
        <v>0</v>
      </c>
    </row>
    <row r="37" spans="1:66">
      <c r="A37" t="s">
        <v>37</v>
      </c>
      <c r="C37" s="12"/>
      <c r="D37" s="10"/>
      <c r="E37" s="11"/>
      <c r="F37" s="11"/>
      <c r="G37" t="s">
        <v>4</v>
      </c>
      <c r="H37" s="10"/>
      <c r="I37" s="10"/>
      <c r="J37" s="10"/>
      <c r="K37" s="11"/>
      <c r="L37" s="11"/>
      <c r="M37" t="s">
        <v>4</v>
      </c>
      <c r="N37" s="10"/>
      <c r="O37" s="10"/>
      <c r="P37" s="10"/>
      <c r="Q37" s="11"/>
      <c r="R37" s="11"/>
      <c r="S37" t="s">
        <v>4</v>
      </c>
      <c r="T37" s="10"/>
      <c r="U37" s="10"/>
      <c r="V37" s="10"/>
      <c r="W37" s="11"/>
      <c r="X37" s="12"/>
      <c r="Y37" s="11"/>
      <c r="Z37" t="s">
        <v>4</v>
      </c>
      <c r="AA37" s="10"/>
      <c r="AB37" s="12"/>
      <c r="AC37" s="12"/>
      <c r="AD37" s="10"/>
      <c r="AE37" s="10"/>
      <c r="AF37" s="11"/>
      <c r="AG37" s="11"/>
      <c r="AH37" t="s">
        <v>4</v>
      </c>
      <c r="AI37" s="10"/>
      <c r="AJ37" s="10"/>
      <c r="AK37" s="10"/>
      <c r="AL37" s="11"/>
      <c r="AM37" s="11"/>
      <c r="AN37" t="s">
        <v>4</v>
      </c>
      <c r="AO37" s="10"/>
      <c r="AP37" s="10"/>
      <c r="AQ37" s="10"/>
      <c r="AR37" s="11"/>
      <c r="AS37" s="11"/>
      <c r="AT37" t="s">
        <v>4</v>
      </c>
      <c r="AU37" s="10"/>
      <c r="AV37" s="10"/>
      <c r="AW37" s="10"/>
      <c r="AX37" s="11"/>
      <c r="AY37" s="11"/>
      <c r="AZ37" t="s">
        <v>4</v>
      </c>
      <c r="BA37" s="10"/>
      <c r="BB37" s="10"/>
      <c r="BC37" s="12"/>
      <c r="BG37">
        <f t="shared" si="0"/>
        <v>0</v>
      </c>
      <c r="BH37">
        <f t="shared" si="1"/>
        <v>0</v>
      </c>
      <c r="BI37">
        <f t="shared" si="2"/>
        <v>0</v>
      </c>
      <c r="BJ37">
        <f t="shared" si="3"/>
        <v>0</v>
      </c>
      <c r="BK37">
        <f t="shared" si="4"/>
        <v>0</v>
      </c>
      <c r="BL37">
        <f t="shared" si="5"/>
        <v>0</v>
      </c>
      <c r="BM37">
        <f t="shared" si="6"/>
        <v>0</v>
      </c>
      <c r="BN37">
        <f t="shared" si="7"/>
        <v>0</v>
      </c>
    </row>
    <row r="38" spans="1:66">
      <c r="A38" t="s">
        <v>38</v>
      </c>
      <c r="C38" s="12"/>
      <c r="D38" s="10"/>
      <c r="E38" s="10"/>
      <c r="F38" s="11"/>
      <c r="G38" s="11"/>
      <c r="H38" t="s">
        <v>4</v>
      </c>
      <c r="I38" s="10"/>
      <c r="J38" s="10"/>
      <c r="K38" s="10"/>
      <c r="L38" s="11"/>
      <c r="M38" s="11"/>
      <c r="N38" t="s">
        <v>4</v>
      </c>
      <c r="O38" s="10"/>
      <c r="P38" s="10"/>
      <c r="Q38" s="10"/>
      <c r="R38" s="11"/>
      <c r="S38" s="11"/>
      <c r="T38" t="s">
        <v>4</v>
      </c>
      <c r="U38" s="10"/>
      <c r="V38" s="10"/>
      <c r="W38" s="10"/>
      <c r="X38" s="12"/>
      <c r="Y38" s="11"/>
      <c r="Z38" s="11"/>
      <c r="AA38" t="s">
        <v>4</v>
      </c>
      <c r="AB38" s="12"/>
      <c r="AC38" s="12"/>
      <c r="AD38" s="10"/>
      <c r="AE38" s="10"/>
      <c r="AF38" s="10"/>
      <c r="AG38" s="11"/>
      <c r="AH38" s="11"/>
      <c r="AI38" t="s">
        <v>4</v>
      </c>
      <c r="AJ38" s="10"/>
      <c r="AK38" s="10"/>
      <c r="AL38" s="10"/>
      <c r="AM38" s="11"/>
      <c r="AN38" s="11"/>
      <c r="AO38" t="s">
        <v>4</v>
      </c>
      <c r="AP38" s="10"/>
      <c r="AQ38" s="10"/>
      <c r="AR38" s="10"/>
      <c r="AS38" s="11"/>
      <c r="AT38" s="11"/>
      <c r="AU38" t="s">
        <v>4</v>
      </c>
      <c r="AV38" s="10"/>
      <c r="AW38" s="10"/>
      <c r="AX38" s="10"/>
      <c r="AY38" s="11"/>
      <c r="AZ38" s="11"/>
      <c r="BA38" t="s">
        <v>4</v>
      </c>
      <c r="BB38" s="10"/>
      <c r="BC38" s="12"/>
      <c r="BG38">
        <f t="shared" si="0"/>
        <v>0</v>
      </c>
      <c r="BH38">
        <f t="shared" si="1"/>
        <v>0</v>
      </c>
      <c r="BI38">
        <f t="shared" si="2"/>
        <v>0</v>
      </c>
      <c r="BJ38">
        <f t="shared" si="3"/>
        <v>0</v>
      </c>
      <c r="BK38">
        <f t="shared" si="4"/>
        <v>0</v>
      </c>
      <c r="BL38">
        <f t="shared" si="5"/>
        <v>0</v>
      </c>
      <c r="BM38">
        <f t="shared" si="6"/>
        <v>0</v>
      </c>
      <c r="BN38">
        <f t="shared" si="7"/>
        <v>0</v>
      </c>
    </row>
    <row r="39" spans="1:66">
      <c r="A39" t="s">
        <v>39</v>
      </c>
      <c r="C39" s="12"/>
      <c r="D39" s="10"/>
      <c r="E39" s="10"/>
      <c r="F39" s="10"/>
      <c r="G39" s="11"/>
      <c r="H39" s="11"/>
      <c r="I39" t="s">
        <v>4</v>
      </c>
      <c r="J39" s="10"/>
      <c r="K39" s="10"/>
      <c r="L39" s="10"/>
      <c r="M39" s="11"/>
      <c r="N39" s="11"/>
      <c r="O39" t="s">
        <v>4</v>
      </c>
      <c r="P39" s="10"/>
      <c r="Q39" s="10"/>
      <c r="R39" s="10"/>
      <c r="S39" s="11"/>
      <c r="T39" s="11"/>
      <c r="U39" t="s">
        <v>4</v>
      </c>
      <c r="V39" s="10"/>
      <c r="W39" s="10"/>
      <c r="X39" s="12"/>
      <c r="Y39" s="10"/>
      <c r="Z39" s="11"/>
      <c r="AA39" s="11"/>
      <c r="AB39" s="12"/>
      <c r="AC39" s="12"/>
      <c r="AD39" t="s">
        <v>4</v>
      </c>
      <c r="AE39" s="10"/>
      <c r="AF39" s="10"/>
      <c r="AG39" s="10"/>
      <c r="AH39" s="11"/>
      <c r="AI39" s="11"/>
      <c r="AJ39" t="s">
        <v>4</v>
      </c>
      <c r="AK39" s="10"/>
      <c r="AL39" s="10"/>
      <c r="AM39" s="10"/>
      <c r="AN39" s="11"/>
      <c r="AO39" s="11"/>
      <c r="AP39" t="s">
        <v>4</v>
      </c>
      <c r="AQ39" s="10"/>
      <c r="AR39" s="10"/>
      <c r="AS39" s="10"/>
      <c r="AT39" s="11"/>
      <c r="AU39" s="11"/>
      <c r="AV39" t="s">
        <v>4</v>
      </c>
      <c r="AW39" s="10"/>
      <c r="AX39" s="10"/>
      <c r="AY39" s="10"/>
      <c r="AZ39" s="11"/>
      <c r="BA39" s="11"/>
      <c r="BB39" t="s">
        <v>4</v>
      </c>
      <c r="BC39" s="12"/>
      <c r="BG39">
        <f t="shared" si="0"/>
        <v>0</v>
      </c>
      <c r="BH39">
        <f t="shared" si="1"/>
        <v>0</v>
      </c>
      <c r="BI39">
        <f t="shared" si="2"/>
        <v>0</v>
      </c>
      <c r="BJ39">
        <f t="shared" si="3"/>
        <v>0</v>
      </c>
      <c r="BK39">
        <f t="shared" si="4"/>
        <v>0</v>
      </c>
      <c r="BL39">
        <f t="shared" si="5"/>
        <v>0</v>
      </c>
      <c r="BM39">
        <f t="shared" si="6"/>
        <v>0</v>
      </c>
      <c r="BN39">
        <f t="shared" si="7"/>
        <v>0</v>
      </c>
    </row>
    <row r="40" spans="1:66">
      <c r="A40" t="s">
        <v>40</v>
      </c>
      <c r="C40" s="12"/>
      <c r="D40" t="s">
        <v>4</v>
      </c>
      <c r="E40" s="10"/>
      <c r="F40" s="10"/>
      <c r="G40" s="10"/>
      <c r="H40" s="11"/>
      <c r="I40" s="11"/>
      <c r="J40" t="s">
        <v>4</v>
      </c>
      <c r="K40" s="10"/>
      <c r="L40" s="10"/>
      <c r="M40" s="10"/>
      <c r="N40" s="11"/>
      <c r="O40" s="11"/>
      <c r="P40" t="s">
        <v>4</v>
      </c>
      <c r="Q40" s="10"/>
      <c r="R40" s="10"/>
      <c r="S40" s="10"/>
      <c r="T40" s="11"/>
      <c r="U40" s="11"/>
      <c r="V40" t="s">
        <v>4</v>
      </c>
      <c r="W40" s="10"/>
      <c r="X40" s="12"/>
      <c r="Y40" s="10"/>
      <c r="Z40" s="10"/>
      <c r="AA40" s="11"/>
      <c r="AB40" s="12"/>
      <c r="AC40" s="12"/>
      <c r="AD40" s="11"/>
      <c r="AE40" t="s">
        <v>4</v>
      </c>
      <c r="AF40" s="10"/>
      <c r="AG40" s="10"/>
      <c r="AH40" s="10"/>
      <c r="AI40" s="11"/>
      <c r="AJ40" s="11"/>
      <c r="AK40" t="s">
        <v>4</v>
      </c>
      <c r="AL40" s="10"/>
      <c r="AM40" s="10"/>
      <c r="AN40" s="10"/>
      <c r="AO40" s="11"/>
      <c r="AP40" s="11"/>
      <c r="AQ40" t="s">
        <v>4</v>
      </c>
      <c r="AR40" s="10"/>
      <c r="AS40" s="10"/>
      <c r="AT40" s="10"/>
      <c r="AU40" s="11"/>
      <c r="AV40" s="11"/>
      <c r="AW40" t="s">
        <v>4</v>
      </c>
      <c r="AX40" s="10"/>
      <c r="AY40" s="10"/>
      <c r="AZ40" s="10"/>
      <c r="BA40" s="11"/>
      <c r="BB40" s="11"/>
      <c r="BC40" s="12"/>
      <c r="BG40">
        <f t="shared" si="0"/>
        <v>0</v>
      </c>
      <c r="BH40">
        <f t="shared" si="1"/>
        <v>0</v>
      </c>
      <c r="BI40">
        <f t="shared" si="2"/>
        <v>0</v>
      </c>
      <c r="BJ40">
        <f t="shared" si="3"/>
        <v>0</v>
      </c>
      <c r="BK40">
        <f t="shared" si="4"/>
        <v>0</v>
      </c>
      <c r="BL40">
        <f t="shared" si="5"/>
        <v>0</v>
      </c>
      <c r="BM40">
        <f t="shared" si="6"/>
        <v>0</v>
      </c>
      <c r="BN40">
        <f t="shared" si="7"/>
        <v>0</v>
      </c>
    </row>
    <row r="41" spans="1:66">
      <c r="A41" t="s">
        <v>41</v>
      </c>
      <c r="C41" s="12"/>
      <c r="D41" s="11"/>
      <c r="E41" t="s">
        <v>4</v>
      </c>
      <c r="F41" s="10"/>
      <c r="G41" s="10"/>
      <c r="H41" s="10"/>
      <c r="I41" s="11"/>
      <c r="J41" s="11"/>
      <c r="K41" t="s">
        <v>4</v>
      </c>
      <c r="L41" s="10"/>
      <c r="M41" s="10"/>
      <c r="N41" s="10"/>
      <c r="O41" s="11"/>
      <c r="P41" s="11"/>
      <c r="Q41" t="s">
        <v>4</v>
      </c>
      <c r="R41" s="10"/>
      <c r="S41" s="10"/>
      <c r="T41" s="10"/>
      <c r="U41" s="11"/>
      <c r="V41" s="11"/>
      <c r="W41" t="s">
        <v>4</v>
      </c>
      <c r="X41" s="12"/>
      <c r="Y41" s="10"/>
      <c r="Z41" s="10"/>
      <c r="AA41" s="10"/>
      <c r="AB41" s="12"/>
      <c r="AC41" s="12"/>
      <c r="AD41" s="11"/>
      <c r="AE41" s="11"/>
      <c r="AF41" t="s">
        <v>4</v>
      </c>
      <c r="AG41" s="10"/>
      <c r="AH41" s="10"/>
      <c r="AI41" s="10"/>
      <c r="AJ41" s="11"/>
      <c r="AK41" s="11"/>
      <c r="AL41" t="s">
        <v>4</v>
      </c>
      <c r="AM41" s="10"/>
      <c r="AN41" s="10"/>
      <c r="AO41" s="10"/>
      <c r="AP41" s="11"/>
      <c r="AQ41" s="11"/>
      <c r="AR41" t="s">
        <v>4</v>
      </c>
      <c r="AS41" s="10"/>
      <c r="AT41" s="10"/>
      <c r="AU41" s="10"/>
      <c r="AV41" s="11"/>
      <c r="AW41" s="11"/>
      <c r="AX41" t="s">
        <v>4</v>
      </c>
      <c r="AY41" s="10"/>
      <c r="AZ41" s="10"/>
      <c r="BA41" s="10"/>
      <c r="BB41" s="11"/>
      <c r="BC41" s="12"/>
      <c r="BG41">
        <f t="shared" si="0"/>
        <v>0</v>
      </c>
      <c r="BH41">
        <f t="shared" si="1"/>
        <v>0</v>
      </c>
      <c r="BI41">
        <f t="shared" si="2"/>
        <v>0</v>
      </c>
      <c r="BJ41">
        <f t="shared" si="3"/>
        <v>0</v>
      </c>
      <c r="BK41">
        <f t="shared" si="4"/>
        <v>0</v>
      </c>
      <c r="BL41">
        <f t="shared" si="5"/>
        <v>0</v>
      </c>
      <c r="BM41">
        <f t="shared" si="6"/>
        <v>0</v>
      </c>
      <c r="BN41">
        <f t="shared" si="7"/>
        <v>0</v>
      </c>
    </row>
    <row r="42" spans="1:66">
      <c r="A42" t="s">
        <v>42</v>
      </c>
      <c r="C42" s="12"/>
      <c r="D42" s="11"/>
      <c r="E42" s="11"/>
      <c r="F42" t="s">
        <v>4</v>
      </c>
      <c r="G42" s="10"/>
      <c r="H42" s="10"/>
      <c r="I42" s="10"/>
      <c r="J42" s="11"/>
      <c r="K42" s="11"/>
      <c r="L42" t="s">
        <v>4</v>
      </c>
      <c r="M42" s="10"/>
      <c r="N42" s="10"/>
      <c r="O42" s="10"/>
      <c r="P42" s="11"/>
      <c r="Q42" s="11"/>
      <c r="R42" t="s">
        <v>4</v>
      </c>
      <c r="S42" s="10"/>
      <c r="T42" s="10"/>
      <c r="U42" s="10"/>
      <c r="V42" s="11"/>
      <c r="W42" s="11"/>
      <c r="X42" s="12"/>
      <c r="Y42" t="s">
        <v>4</v>
      </c>
      <c r="Z42" s="10"/>
      <c r="AA42" s="10"/>
      <c r="AB42" s="12"/>
      <c r="AC42" s="12"/>
      <c r="AD42" s="10"/>
      <c r="AE42" s="11"/>
      <c r="AF42" s="11"/>
      <c r="AG42" t="s">
        <v>4</v>
      </c>
      <c r="AH42" s="10"/>
      <c r="AI42" s="10"/>
      <c r="AJ42" s="10"/>
      <c r="AK42" s="11"/>
      <c r="AL42" s="11"/>
      <c r="AM42" t="s">
        <v>4</v>
      </c>
      <c r="AN42" s="10"/>
      <c r="AO42" s="10"/>
      <c r="AP42" s="10"/>
      <c r="AQ42" s="11"/>
      <c r="AR42" s="11"/>
      <c r="AS42" t="s">
        <v>4</v>
      </c>
      <c r="AT42" s="10"/>
      <c r="AU42" s="10"/>
      <c r="AV42" s="10"/>
      <c r="AW42" s="11"/>
      <c r="AX42" s="11"/>
      <c r="AY42" t="s">
        <v>4</v>
      </c>
      <c r="AZ42" s="10"/>
      <c r="BA42" s="10"/>
      <c r="BB42" s="10"/>
      <c r="BC42" s="12"/>
      <c r="BG42">
        <f t="shared" si="0"/>
        <v>0</v>
      </c>
      <c r="BH42">
        <f t="shared" si="1"/>
        <v>0</v>
      </c>
      <c r="BI42">
        <f t="shared" si="2"/>
        <v>0</v>
      </c>
      <c r="BJ42">
        <f t="shared" si="3"/>
        <v>0</v>
      </c>
      <c r="BK42">
        <f t="shared" si="4"/>
        <v>0</v>
      </c>
      <c r="BL42">
        <f t="shared" si="5"/>
        <v>0</v>
      </c>
      <c r="BM42">
        <f t="shared" si="6"/>
        <v>0</v>
      </c>
      <c r="BN42">
        <f t="shared" si="7"/>
        <v>0</v>
      </c>
    </row>
    <row r="43" spans="1:66">
      <c r="A43" t="s">
        <v>43</v>
      </c>
      <c r="C43" s="12"/>
      <c r="D43" s="10"/>
      <c r="E43" s="11"/>
      <c r="F43" s="11"/>
      <c r="G43" t="s">
        <v>4</v>
      </c>
      <c r="H43" s="10"/>
      <c r="I43" s="10"/>
      <c r="J43" s="10"/>
      <c r="K43" s="11"/>
      <c r="L43" s="11"/>
      <c r="M43" t="s">
        <v>4</v>
      </c>
      <c r="N43" s="10"/>
      <c r="O43" s="10"/>
      <c r="P43" s="10"/>
      <c r="Q43" s="11"/>
      <c r="R43" s="11"/>
      <c r="S43" t="s">
        <v>4</v>
      </c>
      <c r="T43" s="10"/>
      <c r="U43" s="10"/>
      <c r="V43" s="10"/>
      <c r="W43" s="11"/>
      <c r="X43" s="12"/>
      <c r="Y43" s="11"/>
      <c r="Z43" t="s">
        <v>4</v>
      </c>
      <c r="AA43" s="10"/>
      <c r="AB43" s="12"/>
      <c r="AC43" s="12"/>
      <c r="AD43" s="10"/>
      <c r="AE43" s="10"/>
      <c r="AF43" s="11"/>
      <c r="AG43" s="11"/>
      <c r="AH43" t="s">
        <v>4</v>
      </c>
      <c r="AI43" s="10"/>
      <c r="AJ43" s="10"/>
      <c r="AK43" s="10"/>
      <c r="AL43" s="11"/>
      <c r="AM43" s="11"/>
      <c r="AN43" t="s">
        <v>4</v>
      </c>
      <c r="AO43" s="10"/>
      <c r="AP43" s="10"/>
      <c r="AQ43" s="10"/>
      <c r="AR43" s="11"/>
      <c r="AS43" s="11"/>
      <c r="AT43" t="s">
        <v>4</v>
      </c>
      <c r="AU43" s="10"/>
      <c r="AV43" s="10"/>
      <c r="AW43" s="10"/>
      <c r="AX43" s="11"/>
      <c r="AY43" s="11"/>
      <c r="AZ43" t="s">
        <v>4</v>
      </c>
      <c r="BA43" s="10"/>
      <c r="BB43" s="10"/>
      <c r="BC43" s="12"/>
      <c r="BG43">
        <f t="shared" si="0"/>
        <v>0</v>
      </c>
      <c r="BH43">
        <f t="shared" si="1"/>
        <v>0</v>
      </c>
      <c r="BI43">
        <f t="shared" si="2"/>
        <v>0</v>
      </c>
      <c r="BJ43">
        <f t="shared" si="3"/>
        <v>0</v>
      </c>
      <c r="BK43">
        <f t="shared" si="4"/>
        <v>0</v>
      </c>
      <c r="BL43">
        <f t="shared" si="5"/>
        <v>0</v>
      </c>
      <c r="BM43">
        <f t="shared" si="6"/>
        <v>0</v>
      </c>
      <c r="BN43">
        <f t="shared" si="7"/>
        <v>0</v>
      </c>
    </row>
    <row r="44" spans="1:66">
      <c r="A44" t="s">
        <v>44</v>
      </c>
      <c r="C44" s="12"/>
      <c r="D44" s="10"/>
      <c r="E44" s="10"/>
      <c r="F44" s="11"/>
      <c r="G44" s="11"/>
      <c r="H44" t="s">
        <v>4</v>
      </c>
      <c r="I44" s="10"/>
      <c r="J44" s="10"/>
      <c r="K44" s="10"/>
      <c r="L44" s="11"/>
      <c r="M44" s="11"/>
      <c r="N44" t="s">
        <v>4</v>
      </c>
      <c r="O44" s="10"/>
      <c r="P44" s="10"/>
      <c r="Q44" s="10"/>
      <c r="R44" s="11"/>
      <c r="S44" s="11"/>
      <c r="T44" t="s">
        <v>4</v>
      </c>
      <c r="U44" s="10"/>
      <c r="V44" s="10"/>
      <c r="W44" s="10"/>
      <c r="X44" s="12"/>
      <c r="Y44" s="11"/>
      <c r="Z44" s="11"/>
      <c r="AA44" t="s">
        <v>4</v>
      </c>
      <c r="AB44" s="12"/>
      <c r="AC44" s="12"/>
      <c r="AD44" s="10"/>
      <c r="AE44" s="10"/>
      <c r="AF44" s="10"/>
      <c r="AG44" s="11"/>
      <c r="AH44" s="11"/>
      <c r="AI44" t="s">
        <v>4</v>
      </c>
      <c r="AJ44" s="10"/>
      <c r="AK44" s="10"/>
      <c r="AL44" s="10"/>
      <c r="AM44" s="11"/>
      <c r="AN44" s="11"/>
      <c r="AO44" t="s">
        <v>4</v>
      </c>
      <c r="AP44" s="10"/>
      <c r="AQ44" s="10"/>
      <c r="AR44" s="10"/>
      <c r="AS44" s="11"/>
      <c r="AT44" s="11"/>
      <c r="AU44" t="s">
        <v>4</v>
      </c>
      <c r="AV44" s="10"/>
      <c r="AW44" s="10"/>
      <c r="AX44" s="10"/>
      <c r="AY44" s="11"/>
      <c r="AZ44" s="11"/>
      <c r="BA44" t="s">
        <v>4</v>
      </c>
      <c r="BB44" s="10"/>
      <c r="BC44" s="12"/>
      <c r="BG44">
        <f t="shared" si="0"/>
        <v>0</v>
      </c>
      <c r="BH44">
        <f t="shared" si="1"/>
        <v>0</v>
      </c>
      <c r="BI44">
        <f t="shared" si="2"/>
        <v>0</v>
      </c>
      <c r="BJ44">
        <f t="shared" si="3"/>
        <v>0</v>
      </c>
      <c r="BK44">
        <f t="shared" si="4"/>
        <v>0</v>
      </c>
      <c r="BL44">
        <f t="shared" si="5"/>
        <v>0</v>
      </c>
      <c r="BM44">
        <f t="shared" si="6"/>
        <v>0</v>
      </c>
      <c r="BN44">
        <f t="shared" si="7"/>
        <v>0</v>
      </c>
    </row>
    <row r="45" spans="1:66">
      <c r="A45" t="s">
        <v>45</v>
      </c>
      <c r="C45" s="12"/>
      <c r="D45" s="10"/>
      <c r="E45" s="10"/>
      <c r="F45" s="10"/>
      <c r="G45" s="11"/>
      <c r="H45" s="11"/>
      <c r="I45" t="s">
        <v>4</v>
      </c>
      <c r="J45" s="10"/>
      <c r="K45" s="10"/>
      <c r="L45" s="10"/>
      <c r="M45" s="11"/>
      <c r="N45" s="11"/>
      <c r="O45" t="s">
        <v>4</v>
      </c>
      <c r="P45" s="10"/>
      <c r="Q45" s="10"/>
      <c r="R45" s="10"/>
      <c r="S45" s="11"/>
      <c r="T45" s="11"/>
      <c r="U45" t="s">
        <v>4</v>
      </c>
      <c r="V45" s="10"/>
      <c r="W45" s="10"/>
      <c r="X45" s="12"/>
      <c r="Y45" s="10"/>
      <c r="Z45" s="11"/>
      <c r="AA45" s="11"/>
      <c r="AB45" s="12"/>
      <c r="AC45" s="12"/>
      <c r="AD45" t="s">
        <v>4</v>
      </c>
      <c r="AE45" s="10"/>
      <c r="AF45" s="10"/>
      <c r="AG45" s="10"/>
      <c r="AH45" s="11"/>
      <c r="AI45" s="11"/>
      <c r="AJ45" t="s">
        <v>4</v>
      </c>
      <c r="AK45" s="10"/>
      <c r="AL45" s="10"/>
      <c r="AM45" s="10"/>
      <c r="AN45" s="11"/>
      <c r="AO45" s="11"/>
      <c r="AP45" t="s">
        <v>4</v>
      </c>
      <c r="AQ45" s="10"/>
      <c r="AR45" s="10"/>
      <c r="AS45" s="10"/>
      <c r="AT45" s="11"/>
      <c r="AU45" s="11"/>
      <c r="AV45" t="s">
        <v>4</v>
      </c>
      <c r="AW45" s="10"/>
      <c r="AX45" s="10"/>
      <c r="AY45" s="10"/>
      <c r="AZ45" s="11"/>
      <c r="BA45" s="11"/>
      <c r="BB45" t="s">
        <v>4</v>
      </c>
      <c r="BC45" s="12"/>
      <c r="BG45">
        <f t="shared" si="0"/>
        <v>0</v>
      </c>
      <c r="BH45">
        <f t="shared" si="1"/>
        <v>0</v>
      </c>
      <c r="BI45">
        <f t="shared" si="2"/>
        <v>0</v>
      </c>
      <c r="BJ45">
        <f t="shared" si="3"/>
        <v>0</v>
      </c>
      <c r="BK45">
        <f t="shared" si="4"/>
        <v>0</v>
      </c>
      <c r="BL45">
        <f t="shared" si="5"/>
        <v>0</v>
      </c>
      <c r="BM45">
        <f t="shared" si="6"/>
        <v>0</v>
      </c>
      <c r="BN45">
        <f t="shared" si="7"/>
        <v>0</v>
      </c>
    </row>
    <row r="46" spans="1:66">
      <c r="A46" t="s">
        <v>46</v>
      </c>
      <c r="C46" s="12"/>
      <c r="D46" t="s">
        <v>4</v>
      </c>
      <c r="E46" s="10"/>
      <c r="F46" s="10"/>
      <c r="G46" s="10"/>
      <c r="H46" s="11"/>
      <c r="I46" s="11"/>
      <c r="J46" t="s">
        <v>4</v>
      </c>
      <c r="K46" s="10"/>
      <c r="L46" s="10"/>
      <c r="M46" s="10"/>
      <c r="N46" s="11"/>
      <c r="O46" s="11"/>
      <c r="P46" t="s">
        <v>4</v>
      </c>
      <c r="Q46" s="10"/>
      <c r="R46" s="10"/>
      <c r="S46" s="10"/>
      <c r="T46" s="11"/>
      <c r="U46" s="11"/>
      <c r="V46" t="s">
        <v>4</v>
      </c>
      <c r="W46" s="10"/>
      <c r="X46" s="12"/>
      <c r="Y46" s="10"/>
      <c r="Z46" s="10"/>
      <c r="AA46" s="11"/>
      <c r="AB46" s="12"/>
      <c r="AC46" s="12"/>
      <c r="AD46" s="11"/>
      <c r="AE46" t="s">
        <v>4</v>
      </c>
      <c r="AF46" s="10"/>
      <c r="AG46" s="10"/>
      <c r="AH46" s="10"/>
      <c r="AI46" s="11"/>
      <c r="AJ46" s="11"/>
      <c r="AK46" t="s">
        <v>4</v>
      </c>
      <c r="AL46" s="10"/>
      <c r="AM46" s="10"/>
      <c r="AN46" s="10"/>
      <c r="AO46" s="11"/>
      <c r="AP46" s="11"/>
      <c r="AQ46" t="s">
        <v>4</v>
      </c>
      <c r="AR46" s="10"/>
      <c r="AS46" s="10"/>
      <c r="AT46" s="10"/>
      <c r="AU46" s="11"/>
      <c r="AV46" s="11"/>
      <c r="AW46" t="s">
        <v>4</v>
      </c>
      <c r="AX46" s="10"/>
      <c r="AY46" s="10"/>
      <c r="AZ46" s="10"/>
      <c r="BA46" s="11"/>
      <c r="BB46" s="11"/>
      <c r="BC46" s="12"/>
      <c r="BG46">
        <f t="shared" si="0"/>
        <v>0</v>
      </c>
      <c r="BH46">
        <f t="shared" si="1"/>
        <v>0</v>
      </c>
      <c r="BI46">
        <f t="shared" si="2"/>
        <v>0</v>
      </c>
      <c r="BJ46">
        <f t="shared" si="3"/>
        <v>0</v>
      </c>
      <c r="BK46">
        <f t="shared" si="4"/>
        <v>0</v>
      </c>
      <c r="BL46">
        <f t="shared" si="5"/>
        <v>0</v>
      </c>
      <c r="BM46">
        <f t="shared" si="6"/>
        <v>0</v>
      </c>
      <c r="BN46">
        <f t="shared" si="7"/>
        <v>0</v>
      </c>
    </row>
    <row r="47" spans="1:66">
      <c r="A47" t="s">
        <v>47</v>
      </c>
      <c r="C47" s="12"/>
      <c r="D47" s="11"/>
      <c r="E47" t="s">
        <v>4</v>
      </c>
      <c r="F47" s="10"/>
      <c r="G47" s="10"/>
      <c r="H47" s="10"/>
      <c r="I47" s="11"/>
      <c r="J47" s="11"/>
      <c r="K47" t="s">
        <v>4</v>
      </c>
      <c r="L47" s="10"/>
      <c r="M47" s="10"/>
      <c r="N47" s="10"/>
      <c r="O47" s="11"/>
      <c r="P47" s="11"/>
      <c r="Q47" t="s">
        <v>4</v>
      </c>
      <c r="R47" s="10"/>
      <c r="S47" s="10"/>
      <c r="T47" s="10"/>
      <c r="U47" s="11"/>
      <c r="V47" s="11"/>
      <c r="W47" t="s">
        <v>4</v>
      </c>
      <c r="X47" s="12"/>
      <c r="Y47" s="10"/>
      <c r="Z47" s="10"/>
      <c r="AA47" s="10"/>
      <c r="AB47" s="12"/>
      <c r="AC47" s="12"/>
      <c r="AD47" s="11"/>
      <c r="AE47" s="11"/>
      <c r="AF47" t="s">
        <v>4</v>
      </c>
      <c r="AG47" s="10"/>
      <c r="AH47" s="10"/>
      <c r="AI47" s="10"/>
      <c r="AJ47" s="11"/>
      <c r="AK47" s="11"/>
      <c r="AL47" t="s">
        <v>4</v>
      </c>
      <c r="AM47" s="10"/>
      <c r="AN47" s="10"/>
      <c r="AO47" s="10"/>
      <c r="AP47" s="11"/>
      <c r="AQ47" s="11"/>
      <c r="AR47" t="s">
        <v>4</v>
      </c>
      <c r="AS47" s="10"/>
      <c r="AT47" s="10"/>
      <c r="AU47" s="10"/>
      <c r="AV47" s="11"/>
      <c r="AW47" s="11"/>
      <c r="AX47" t="s">
        <v>4</v>
      </c>
      <c r="AY47" s="10"/>
      <c r="AZ47" s="10"/>
      <c r="BA47" s="10"/>
      <c r="BB47" s="11"/>
      <c r="BC47" s="12"/>
      <c r="BG47">
        <f t="shared" si="0"/>
        <v>0</v>
      </c>
      <c r="BH47">
        <f t="shared" si="1"/>
        <v>0</v>
      </c>
      <c r="BI47">
        <f t="shared" si="2"/>
        <v>0</v>
      </c>
      <c r="BJ47">
        <f t="shared" si="3"/>
        <v>0</v>
      </c>
      <c r="BK47">
        <f t="shared" si="4"/>
        <v>0</v>
      </c>
      <c r="BL47">
        <f t="shared" si="5"/>
        <v>0</v>
      </c>
      <c r="BM47">
        <f t="shared" si="6"/>
        <v>0</v>
      </c>
      <c r="BN47">
        <f t="shared" si="7"/>
        <v>0</v>
      </c>
    </row>
    <row r="48" spans="1:66">
      <c r="A48" t="s">
        <v>48</v>
      </c>
      <c r="C48" s="12"/>
      <c r="D48" s="11"/>
      <c r="E48" s="11"/>
      <c r="F48" t="s">
        <v>4</v>
      </c>
      <c r="G48" s="10"/>
      <c r="H48" s="10"/>
      <c r="I48" s="10"/>
      <c r="J48" s="11"/>
      <c r="K48" s="11"/>
      <c r="L48" t="s">
        <v>4</v>
      </c>
      <c r="M48" s="10"/>
      <c r="N48" s="10"/>
      <c r="O48" s="10"/>
      <c r="P48" s="11"/>
      <c r="Q48" s="11"/>
      <c r="R48" t="s">
        <v>4</v>
      </c>
      <c r="S48" s="10"/>
      <c r="T48" s="10"/>
      <c r="U48" s="10"/>
      <c r="V48" s="11"/>
      <c r="W48" s="11"/>
      <c r="X48" s="12"/>
      <c r="Y48" t="s">
        <v>4</v>
      </c>
      <c r="Z48" s="10"/>
      <c r="AA48" s="10"/>
      <c r="AB48" s="12"/>
      <c r="AC48" s="12"/>
      <c r="AD48" s="10"/>
      <c r="AE48" s="11"/>
      <c r="AF48" s="11"/>
      <c r="AG48" t="s">
        <v>4</v>
      </c>
      <c r="AH48" s="10"/>
      <c r="AI48" s="10"/>
      <c r="AJ48" s="10"/>
      <c r="AK48" s="11"/>
      <c r="AL48" s="11"/>
      <c r="AM48" t="s">
        <v>4</v>
      </c>
      <c r="AN48" s="10"/>
      <c r="AO48" s="10"/>
      <c r="AP48" s="10"/>
      <c r="AQ48" s="11"/>
      <c r="AR48" s="11"/>
      <c r="AS48" t="s">
        <v>4</v>
      </c>
      <c r="AT48" s="10"/>
      <c r="AU48" s="10"/>
      <c r="AV48" s="10"/>
      <c r="AW48" s="11"/>
      <c r="AX48" s="11"/>
      <c r="AY48" t="s">
        <v>4</v>
      </c>
      <c r="AZ48" s="10"/>
      <c r="BA48" s="10"/>
      <c r="BB48" s="10"/>
      <c r="BC48" s="12"/>
      <c r="BG48">
        <f t="shared" si="0"/>
        <v>0</v>
      </c>
      <c r="BH48">
        <f t="shared" si="1"/>
        <v>0</v>
      </c>
      <c r="BI48">
        <f t="shared" si="2"/>
        <v>0</v>
      </c>
      <c r="BJ48">
        <f t="shared" si="3"/>
        <v>0</v>
      </c>
      <c r="BK48">
        <f t="shared" si="4"/>
        <v>0</v>
      </c>
      <c r="BL48">
        <f t="shared" si="5"/>
        <v>0</v>
      </c>
      <c r="BM48">
        <f t="shared" si="6"/>
        <v>0</v>
      </c>
      <c r="BN48">
        <f t="shared" si="7"/>
        <v>0</v>
      </c>
    </row>
    <row r="49" spans="1:67">
      <c r="A49" t="s">
        <v>49</v>
      </c>
      <c r="C49" s="12"/>
      <c r="D49" s="10"/>
      <c r="E49" s="11"/>
      <c r="F49" s="11"/>
      <c r="G49" t="s">
        <v>4</v>
      </c>
      <c r="H49" s="10"/>
      <c r="I49" s="10"/>
      <c r="J49" s="10"/>
      <c r="K49" s="11"/>
      <c r="L49" s="11"/>
      <c r="M49" t="s">
        <v>4</v>
      </c>
      <c r="N49" s="10"/>
      <c r="O49" s="10"/>
      <c r="P49" s="10"/>
      <c r="Q49" s="11"/>
      <c r="R49" s="11"/>
      <c r="S49" t="s">
        <v>4</v>
      </c>
      <c r="T49" s="10"/>
      <c r="U49" s="10"/>
      <c r="V49" s="10"/>
      <c r="W49" s="11"/>
      <c r="X49" s="12"/>
      <c r="Y49" s="11"/>
      <c r="Z49" t="s">
        <v>4</v>
      </c>
      <c r="AA49" s="10"/>
      <c r="AB49" s="12"/>
      <c r="AC49" s="12"/>
      <c r="AD49" s="10"/>
      <c r="AE49" s="10"/>
      <c r="AF49" s="11"/>
      <c r="AG49" s="11"/>
      <c r="AH49" t="s">
        <v>4</v>
      </c>
      <c r="AI49" s="10"/>
      <c r="AJ49" s="10"/>
      <c r="AK49" s="10"/>
      <c r="AL49" s="11"/>
      <c r="AM49" s="11"/>
      <c r="AN49" t="s">
        <v>4</v>
      </c>
      <c r="AO49" s="10"/>
      <c r="AP49" s="10"/>
      <c r="AQ49" s="10"/>
      <c r="AR49" s="11"/>
      <c r="AS49" s="11"/>
      <c r="AT49" t="s">
        <v>4</v>
      </c>
      <c r="AU49" s="10"/>
      <c r="AV49" s="10"/>
      <c r="AW49" s="10"/>
      <c r="AX49" s="11"/>
      <c r="AY49" s="11"/>
      <c r="AZ49" t="s">
        <v>4</v>
      </c>
      <c r="BA49" s="10"/>
      <c r="BB49" s="10"/>
      <c r="BC49" s="12"/>
      <c r="BG49">
        <f t="shared" si="0"/>
        <v>0</v>
      </c>
      <c r="BH49">
        <f t="shared" si="1"/>
        <v>0</v>
      </c>
      <c r="BI49">
        <f t="shared" si="2"/>
        <v>0</v>
      </c>
      <c r="BJ49">
        <f t="shared" si="3"/>
        <v>0</v>
      </c>
      <c r="BK49">
        <f t="shared" si="4"/>
        <v>0</v>
      </c>
      <c r="BL49">
        <f t="shared" si="5"/>
        <v>0</v>
      </c>
      <c r="BM49">
        <f t="shared" si="6"/>
        <v>0</v>
      </c>
      <c r="BN49">
        <f t="shared" si="7"/>
        <v>0</v>
      </c>
    </row>
    <row r="50" spans="1:67">
      <c r="A50" t="s">
        <v>50</v>
      </c>
      <c r="C50" s="12"/>
      <c r="D50" s="10"/>
      <c r="E50" s="10"/>
      <c r="F50" s="11"/>
      <c r="G50" s="11"/>
      <c r="H50" t="s">
        <v>4</v>
      </c>
      <c r="I50" s="10"/>
      <c r="J50" s="10"/>
      <c r="K50" s="10"/>
      <c r="L50" s="11"/>
      <c r="M50" s="11"/>
      <c r="N50" t="s">
        <v>4</v>
      </c>
      <c r="O50" s="10"/>
      <c r="P50" s="10"/>
      <c r="Q50" s="10"/>
      <c r="R50" s="11"/>
      <c r="S50" s="11"/>
      <c r="T50" t="s">
        <v>4</v>
      </c>
      <c r="U50" s="10"/>
      <c r="V50" s="10"/>
      <c r="W50" s="10"/>
      <c r="X50" s="12"/>
      <c r="Y50" s="11"/>
      <c r="Z50" s="11"/>
      <c r="AA50" t="s">
        <v>4</v>
      </c>
      <c r="AB50" s="12"/>
      <c r="AC50" s="12"/>
      <c r="AD50" s="10"/>
      <c r="AE50" s="10"/>
      <c r="AF50" s="10"/>
      <c r="AG50" s="11"/>
      <c r="AH50" s="11"/>
      <c r="AI50" t="s">
        <v>4</v>
      </c>
      <c r="AJ50" s="10"/>
      <c r="AK50" s="10"/>
      <c r="AL50" s="10"/>
      <c r="AM50" s="11"/>
      <c r="AN50" s="11"/>
      <c r="AO50" t="s">
        <v>4</v>
      </c>
      <c r="AP50" s="10"/>
      <c r="AQ50" s="10"/>
      <c r="AR50" s="10"/>
      <c r="AS50" s="11"/>
      <c r="AT50" s="11"/>
      <c r="AU50" t="s">
        <v>4</v>
      </c>
      <c r="AV50" s="10"/>
      <c r="AW50" s="10"/>
      <c r="AX50" s="10"/>
      <c r="AY50" s="11"/>
      <c r="AZ50" s="11"/>
      <c r="BA50" t="s">
        <v>4</v>
      </c>
      <c r="BB50" s="10"/>
      <c r="BC50" s="12"/>
      <c r="BG50">
        <f t="shared" si="0"/>
        <v>0</v>
      </c>
      <c r="BH50">
        <f t="shared" si="1"/>
        <v>0</v>
      </c>
      <c r="BI50">
        <f t="shared" si="2"/>
        <v>0</v>
      </c>
      <c r="BJ50">
        <f t="shared" si="3"/>
        <v>0</v>
      </c>
      <c r="BK50">
        <f t="shared" si="4"/>
        <v>0</v>
      </c>
      <c r="BL50">
        <f t="shared" si="5"/>
        <v>0</v>
      </c>
      <c r="BM50">
        <f t="shared" si="6"/>
        <v>0</v>
      </c>
      <c r="BN50">
        <f t="shared" si="7"/>
        <v>0</v>
      </c>
    </row>
    <row r="51" spans="1:67">
      <c r="A51" t="s">
        <v>51</v>
      </c>
      <c r="C51" s="12"/>
      <c r="D51" s="10"/>
      <c r="E51" s="10"/>
      <c r="F51" s="10"/>
      <c r="G51" s="11"/>
      <c r="H51" s="11"/>
      <c r="I51" t="s">
        <v>4</v>
      </c>
      <c r="J51" s="10"/>
      <c r="K51" s="10"/>
      <c r="L51" s="10"/>
      <c r="M51" s="11"/>
      <c r="N51" s="11"/>
      <c r="O51" t="s">
        <v>4</v>
      </c>
      <c r="P51" s="10"/>
      <c r="Q51" s="10"/>
      <c r="R51" s="10"/>
      <c r="S51" s="11"/>
      <c r="T51" s="11"/>
      <c r="U51" t="s">
        <v>4</v>
      </c>
      <c r="V51" s="10"/>
      <c r="W51" s="10"/>
      <c r="X51" s="12"/>
      <c r="Y51" s="10"/>
      <c r="Z51" s="11"/>
      <c r="AA51" s="11"/>
      <c r="AB51" s="12"/>
      <c r="AC51" s="12"/>
      <c r="AD51" t="s">
        <v>4</v>
      </c>
      <c r="AE51" s="10"/>
      <c r="AF51" s="10"/>
      <c r="AG51" s="10"/>
      <c r="AH51" s="11"/>
      <c r="AI51" s="11"/>
      <c r="AJ51" t="s">
        <v>4</v>
      </c>
      <c r="AK51" s="10"/>
      <c r="AL51" s="10"/>
      <c r="AM51" s="10"/>
      <c r="AN51" s="11"/>
      <c r="AO51" s="11"/>
      <c r="AP51" t="s">
        <v>4</v>
      </c>
      <c r="AQ51" s="10"/>
      <c r="AR51" s="10"/>
      <c r="AS51" s="10"/>
      <c r="AT51" s="11"/>
      <c r="AU51" s="11"/>
      <c r="AV51" t="s">
        <v>4</v>
      </c>
      <c r="AW51" s="10"/>
      <c r="AX51" s="10"/>
      <c r="AY51" s="10"/>
      <c r="AZ51" s="11"/>
      <c r="BA51" s="11"/>
      <c r="BB51" t="s">
        <v>4</v>
      </c>
      <c r="BC51" s="12"/>
      <c r="BG51">
        <f t="shared" si="0"/>
        <v>0</v>
      </c>
      <c r="BH51">
        <f t="shared" si="1"/>
        <v>0</v>
      </c>
      <c r="BI51">
        <f t="shared" si="2"/>
        <v>0</v>
      </c>
      <c r="BJ51">
        <f t="shared" si="3"/>
        <v>0</v>
      </c>
      <c r="BK51">
        <f t="shared" si="4"/>
        <v>0</v>
      </c>
      <c r="BL51">
        <f t="shared" si="5"/>
        <v>0</v>
      </c>
      <c r="BM51">
        <f t="shared" si="6"/>
        <v>0</v>
      </c>
      <c r="BN51">
        <f t="shared" si="7"/>
        <v>0</v>
      </c>
    </row>
    <row r="52" spans="1:67">
      <c r="A52" t="s">
        <v>52</v>
      </c>
      <c r="C52" s="12"/>
      <c r="D52" t="s">
        <v>4</v>
      </c>
      <c r="E52" s="10"/>
      <c r="F52" s="10"/>
      <c r="G52" s="10"/>
      <c r="H52" s="11"/>
      <c r="I52" s="11"/>
      <c r="J52" t="s">
        <v>4</v>
      </c>
      <c r="K52" s="10"/>
      <c r="L52" s="10"/>
      <c r="M52" s="10"/>
      <c r="N52" s="11"/>
      <c r="O52" s="11"/>
      <c r="P52" t="s">
        <v>4</v>
      </c>
      <c r="Q52" s="10"/>
      <c r="R52" s="10"/>
      <c r="S52" s="10"/>
      <c r="T52" s="11"/>
      <c r="U52" s="11"/>
      <c r="V52" t="s">
        <v>4</v>
      </c>
      <c r="W52" s="10"/>
      <c r="X52" s="12"/>
      <c r="Y52" s="10"/>
      <c r="Z52" s="10"/>
      <c r="AA52" s="11"/>
      <c r="AB52" s="12"/>
      <c r="AC52" s="12"/>
      <c r="AD52" s="11"/>
      <c r="AE52" t="s">
        <v>4</v>
      </c>
      <c r="AF52" s="10"/>
      <c r="AG52" s="10"/>
      <c r="AH52" s="10"/>
      <c r="AI52" s="11"/>
      <c r="AJ52" s="11"/>
      <c r="AK52" t="s">
        <v>4</v>
      </c>
      <c r="AL52" s="10"/>
      <c r="AM52" s="10"/>
      <c r="AN52" s="10"/>
      <c r="AO52" s="11"/>
      <c r="AP52" s="11"/>
      <c r="AQ52" t="s">
        <v>4</v>
      </c>
      <c r="AR52" s="10"/>
      <c r="AS52" s="10"/>
      <c r="AT52" s="10"/>
      <c r="AU52" s="11"/>
      <c r="AV52" s="11"/>
      <c r="AW52" t="s">
        <v>4</v>
      </c>
      <c r="AX52" s="10"/>
      <c r="AY52" s="10"/>
      <c r="AZ52" s="10"/>
      <c r="BA52" s="11"/>
      <c r="BB52" s="11"/>
      <c r="BC52" s="12"/>
      <c r="BG52">
        <f t="shared" si="0"/>
        <v>0</v>
      </c>
      <c r="BH52">
        <f t="shared" si="1"/>
        <v>0</v>
      </c>
      <c r="BI52">
        <f t="shared" si="2"/>
        <v>0</v>
      </c>
      <c r="BJ52">
        <f t="shared" si="3"/>
        <v>0</v>
      </c>
      <c r="BK52">
        <f t="shared" si="4"/>
        <v>0</v>
      </c>
      <c r="BL52">
        <f t="shared" si="5"/>
        <v>0</v>
      </c>
      <c r="BM52">
        <f t="shared" si="6"/>
        <v>0</v>
      </c>
      <c r="BN52">
        <f t="shared" si="7"/>
        <v>0</v>
      </c>
    </row>
    <row r="53" spans="1:67">
      <c r="A53" t="s">
        <v>53</v>
      </c>
      <c r="C53" s="12"/>
      <c r="D53" s="11"/>
      <c r="E53" t="s">
        <v>4</v>
      </c>
      <c r="F53" s="10"/>
      <c r="G53" s="10"/>
      <c r="H53" s="10"/>
      <c r="I53" s="11"/>
      <c r="J53" s="11"/>
      <c r="K53" t="s">
        <v>4</v>
      </c>
      <c r="L53" s="10"/>
      <c r="M53" s="10"/>
      <c r="N53" s="10"/>
      <c r="O53" s="11"/>
      <c r="P53" s="11"/>
      <c r="Q53" t="s">
        <v>4</v>
      </c>
      <c r="R53" s="10"/>
      <c r="S53" s="10"/>
      <c r="T53" s="10"/>
      <c r="U53" s="11"/>
      <c r="V53" s="11"/>
      <c r="W53" t="s">
        <v>4</v>
      </c>
      <c r="X53" s="12"/>
      <c r="Y53" s="10"/>
      <c r="Z53" s="10"/>
      <c r="AA53" s="10"/>
      <c r="AB53" s="12"/>
      <c r="AC53" s="12"/>
      <c r="AD53" s="11"/>
      <c r="AE53" s="11"/>
      <c r="AF53" t="s">
        <v>4</v>
      </c>
      <c r="AG53" s="10"/>
      <c r="AH53" s="10"/>
      <c r="AI53" s="10"/>
      <c r="AJ53" s="11"/>
      <c r="AK53" s="11"/>
      <c r="AL53" t="s">
        <v>4</v>
      </c>
      <c r="AM53" s="10"/>
      <c r="AN53" s="10"/>
      <c r="AO53" s="10"/>
      <c r="AP53" s="11"/>
      <c r="AQ53" s="11"/>
      <c r="AR53" t="s">
        <v>4</v>
      </c>
      <c r="AS53" s="10"/>
      <c r="AT53" s="10"/>
      <c r="AU53" s="10"/>
      <c r="AV53" s="11"/>
      <c r="AW53" s="11"/>
      <c r="AX53" t="s">
        <v>4</v>
      </c>
      <c r="AY53" s="10"/>
      <c r="AZ53" s="10"/>
      <c r="BA53" s="10"/>
      <c r="BB53" s="11"/>
      <c r="BC53" s="12"/>
      <c r="BG53">
        <f t="shared" si="0"/>
        <v>0</v>
      </c>
      <c r="BH53">
        <f t="shared" si="1"/>
        <v>0</v>
      </c>
      <c r="BI53">
        <f t="shared" si="2"/>
        <v>0</v>
      </c>
      <c r="BJ53">
        <f t="shared" si="3"/>
        <v>0</v>
      </c>
      <c r="BK53">
        <f t="shared" si="4"/>
        <v>0</v>
      </c>
      <c r="BL53">
        <f t="shared" si="5"/>
        <v>0</v>
      </c>
      <c r="BM53">
        <f t="shared" si="6"/>
        <v>0</v>
      </c>
      <c r="BN53">
        <f t="shared" si="7"/>
        <v>0</v>
      </c>
    </row>
    <row r="54" spans="1:67">
      <c r="A54" t="s">
        <v>54</v>
      </c>
      <c r="C54" s="12"/>
      <c r="D54" s="11"/>
      <c r="E54" s="11"/>
      <c r="F54" t="s">
        <v>4</v>
      </c>
      <c r="G54" s="10"/>
      <c r="H54" s="10"/>
      <c r="I54" s="10"/>
      <c r="J54" s="11"/>
      <c r="K54" s="11"/>
      <c r="L54" t="s">
        <v>4</v>
      </c>
      <c r="M54" s="10"/>
      <c r="N54" s="10"/>
      <c r="O54" s="10"/>
      <c r="P54" s="11"/>
      <c r="Q54" s="11"/>
      <c r="R54" t="s">
        <v>4</v>
      </c>
      <c r="S54" s="10"/>
      <c r="T54" s="10"/>
      <c r="U54" s="10"/>
      <c r="V54" s="11"/>
      <c r="W54" s="11"/>
      <c r="X54" s="12"/>
      <c r="Y54" t="s">
        <v>4</v>
      </c>
      <c r="Z54" s="10"/>
      <c r="AA54" s="10"/>
      <c r="AB54" s="12"/>
      <c r="AC54" s="12"/>
      <c r="AD54" s="10"/>
      <c r="AE54" s="11"/>
      <c r="AF54" s="11"/>
      <c r="AG54" t="s">
        <v>4</v>
      </c>
      <c r="AH54" s="10"/>
      <c r="AI54" s="10"/>
      <c r="AJ54" s="10"/>
      <c r="AK54" s="11"/>
      <c r="AL54" s="11"/>
      <c r="AM54" t="s">
        <v>4</v>
      </c>
      <c r="AN54" s="10"/>
      <c r="AO54" s="10"/>
      <c r="AP54" s="10"/>
      <c r="AQ54" s="11"/>
      <c r="AR54" s="11"/>
      <c r="AS54" t="s">
        <v>4</v>
      </c>
      <c r="AT54" s="10"/>
      <c r="AU54" s="10"/>
      <c r="AV54" s="10"/>
      <c r="AW54" s="11"/>
      <c r="AX54" s="11"/>
      <c r="AY54" t="s">
        <v>4</v>
      </c>
      <c r="AZ54" s="10"/>
      <c r="BA54" s="10"/>
      <c r="BB54" s="10"/>
      <c r="BC54" s="12"/>
      <c r="BG54">
        <f t="shared" si="0"/>
        <v>0</v>
      </c>
      <c r="BH54">
        <f t="shared" si="1"/>
        <v>0</v>
      </c>
      <c r="BI54">
        <f t="shared" si="2"/>
        <v>0</v>
      </c>
      <c r="BJ54">
        <f t="shared" si="3"/>
        <v>0</v>
      </c>
      <c r="BK54">
        <f t="shared" si="4"/>
        <v>0</v>
      </c>
      <c r="BL54">
        <f t="shared" si="5"/>
        <v>0</v>
      </c>
      <c r="BM54">
        <f t="shared" si="6"/>
        <v>0</v>
      </c>
      <c r="BN54">
        <f t="shared" si="7"/>
        <v>0</v>
      </c>
    </row>
    <row r="55" spans="1:67">
      <c r="A55" t="s">
        <v>55</v>
      </c>
      <c r="C55" s="12"/>
      <c r="D55" s="10"/>
      <c r="E55" s="11"/>
      <c r="F55" s="11"/>
      <c r="G55" t="s">
        <v>4</v>
      </c>
      <c r="H55" s="10"/>
      <c r="I55" s="10"/>
      <c r="J55" s="10"/>
      <c r="K55" s="11"/>
      <c r="L55" s="11"/>
      <c r="M55" t="s">
        <v>4</v>
      </c>
      <c r="N55" s="10"/>
      <c r="O55" s="10"/>
      <c r="P55" s="10"/>
      <c r="Q55" s="11"/>
      <c r="R55" s="11"/>
      <c r="S55" t="s">
        <v>4</v>
      </c>
      <c r="T55" s="10"/>
      <c r="U55" s="10"/>
      <c r="V55" s="10"/>
      <c r="W55" s="11"/>
      <c r="X55" s="12"/>
      <c r="Y55" s="11"/>
      <c r="Z55" t="s">
        <v>4</v>
      </c>
      <c r="AA55" s="10"/>
      <c r="AB55" s="12"/>
      <c r="AC55" s="12"/>
      <c r="AD55" s="10"/>
      <c r="AE55" s="10"/>
      <c r="AF55" s="11"/>
      <c r="AG55" s="11"/>
      <c r="AH55" t="s">
        <v>4</v>
      </c>
      <c r="AI55" s="10"/>
      <c r="AJ55" s="10"/>
      <c r="AK55" s="10"/>
      <c r="AL55" s="11"/>
      <c r="AM55" s="11"/>
      <c r="AN55" t="s">
        <v>4</v>
      </c>
      <c r="AO55" s="10"/>
      <c r="AP55" s="10"/>
      <c r="AQ55" s="10"/>
      <c r="AR55" s="11"/>
      <c r="AS55" s="11"/>
      <c r="AT55" t="s">
        <v>4</v>
      </c>
      <c r="AU55" s="10"/>
      <c r="AV55" s="10"/>
      <c r="AW55" s="10"/>
      <c r="AX55" s="11"/>
      <c r="AY55" s="11"/>
      <c r="AZ55" t="s">
        <v>4</v>
      </c>
      <c r="BA55" s="10"/>
      <c r="BB55" s="10"/>
      <c r="BC55" s="12"/>
      <c r="BG55">
        <f t="shared" si="0"/>
        <v>0</v>
      </c>
      <c r="BH55">
        <f t="shared" si="1"/>
        <v>0</v>
      </c>
      <c r="BI55">
        <f t="shared" si="2"/>
        <v>0</v>
      </c>
      <c r="BJ55">
        <f t="shared" si="3"/>
        <v>0</v>
      </c>
      <c r="BK55">
        <f t="shared" si="4"/>
        <v>0</v>
      </c>
      <c r="BL55">
        <f t="shared" si="5"/>
        <v>0</v>
      </c>
      <c r="BM55">
        <f t="shared" si="6"/>
        <v>0</v>
      </c>
      <c r="BN55">
        <f t="shared" si="7"/>
        <v>0</v>
      </c>
    </row>
    <row r="56" spans="1:67">
      <c r="A56" t="s">
        <v>56</v>
      </c>
      <c r="C56" s="12"/>
      <c r="D56" s="10"/>
      <c r="E56" s="10"/>
      <c r="F56" s="11"/>
      <c r="G56" s="11"/>
      <c r="H56" t="s">
        <v>4</v>
      </c>
      <c r="I56" s="10"/>
      <c r="J56" s="10"/>
      <c r="K56" s="10"/>
      <c r="L56" s="11"/>
      <c r="M56" s="11"/>
      <c r="N56" t="s">
        <v>4</v>
      </c>
      <c r="O56" s="10"/>
      <c r="P56" s="10"/>
      <c r="Q56" s="10"/>
      <c r="R56" s="11"/>
      <c r="S56" s="11"/>
      <c r="T56" t="s">
        <v>4</v>
      </c>
      <c r="U56" s="10"/>
      <c r="V56" s="10"/>
      <c r="W56" s="10"/>
      <c r="X56" s="12"/>
      <c r="Y56" s="11"/>
      <c r="Z56" s="11"/>
      <c r="AA56" t="s">
        <v>4</v>
      </c>
      <c r="AB56" s="12"/>
      <c r="AC56" s="12"/>
      <c r="AD56" s="10"/>
      <c r="AE56" s="10"/>
      <c r="AF56" s="10"/>
      <c r="AG56" s="11"/>
      <c r="AH56" s="11"/>
      <c r="AI56" t="s">
        <v>4</v>
      </c>
      <c r="AJ56" s="10"/>
      <c r="AK56" s="10"/>
      <c r="AL56" s="10"/>
      <c r="AM56" s="11"/>
      <c r="AN56" s="11"/>
      <c r="AO56" t="s">
        <v>4</v>
      </c>
      <c r="AP56" s="10"/>
      <c r="AQ56" s="10"/>
      <c r="AR56" s="10"/>
      <c r="AS56" s="11"/>
      <c r="AT56" s="11"/>
      <c r="AU56" t="s">
        <v>4</v>
      </c>
      <c r="AV56" s="10"/>
      <c r="AW56" s="10"/>
      <c r="AX56" s="10"/>
      <c r="AY56" s="11"/>
      <c r="AZ56" s="11"/>
      <c r="BA56" t="s">
        <v>4</v>
      </c>
      <c r="BB56" s="10"/>
      <c r="BC56" s="12"/>
      <c r="BG56">
        <f t="shared" si="0"/>
        <v>0</v>
      </c>
      <c r="BH56">
        <f t="shared" si="1"/>
        <v>0</v>
      </c>
      <c r="BI56">
        <f t="shared" si="2"/>
        <v>0</v>
      </c>
      <c r="BJ56">
        <f t="shared" si="3"/>
        <v>0</v>
      </c>
      <c r="BK56">
        <f t="shared" si="4"/>
        <v>0</v>
      </c>
      <c r="BL56">
        <f t="shared" si="5"/>
        <v>0</v>
      </c>
      <c r="BM56">
        <f t="shared" si="6"/>
        <v>0</v>
      </c>
      <c r="BN56">
        <f t="shared" si="7"/>
        <v>0</v>
      </c>
    </row>
    <row r="57" spans="1:67">
      <c r="A57" t="s">
        <v>57</v>
      </c>
      <c r="C57" s="12"/>
      <c r="D57" s="10"/>
      <c r="E57" s="10"/>
      <c r="F57" s="10"/>
      <c r="G57" s="11"/>
      <c r="H57" s="11"/>
      <c r="I57" t="s">
        <v>4</v>
      </c>
      <c r="J57" s="10"/>
      <c r="K57" s="10"/>
      <c r="L57" s="10"/>
      <c r="M57" s="11"/>
      <c r="N57" s="11"/>
      <c r="O57" t="s">
        <v>4</v>
      </c>
      <c r="P57" s="10"/>
      <c r="Q57" s="10"/>
      <c r="R57" s="10"/>
      <c r="S57" s="11"/>
      <c r="T57" s="11"/>
      <c r="U57" t="s">
        <v>4</v>
      </c>
      <c r="V57" s="10"/>
      <c r="W57" s="10"/>
      <c r="X57" s="12"/>
      <c r="Y57" s="10"/>
      <c r="Z57" s="11"/>
      <c r="AA57" s="11"/>
      <c r="AB57" s="12"/>
      <c r="AC57" s="12"/>
      <c r="AD57" t="s">
        <v>4</v>
      </c>
      <c r="AE57" s="10"/>
      <c r="AF57" s="10"/>
      <c r="AG57" s="10"/>
      <c r="AH57" s="11"/>
      <c r="AI57" s="11"/>
      <c r="AJ57" t="s">
        <v>4</v>
      </c>
      <c r="AK57" s="10"/>
      <c r="AL57" s="10"/>
      <c r="AM57" s="10"/>
      <c r="AN57" s="11"/>
      <c r="AO57" s="11"/>
      <c r="AP57" t="s">
        <v>4</v>
      </c>
      <c r="AQ57" s="10"/>
      <c r="AR57" s="10"/>
      <c r="AS57" s="10"/>
      <c r="AT57" s="11"/>
      <c r="AU57" s="11"/>
      <c r="AV57" t="s">
        <v>4</v>
      </c>
      <c r="AW57" s="10"/>
      <c r="AX57" s="10"/>
      <c r="AY57" s="10"/>
      <c r="AZ57" s="11"/>
      <c r="BA57" s="11"/>
      <c r="BB57" t="s">
        <v>4</v>
      </c>
      <c r="BC57" s="12"/>
      <c r="BG57">
        <f t="shared" si="0"/>
        <v>0</v>
      </c>
      <c r="BH57">
        <f t="shared" si="1"/>
        <v>0</v>
      </c>
      <c r="BI57">
        <f t="shared" si="2"/>
        <v>0</v>
      </c>
      <c r="BJ57">
        <f t="shared" si="3"/>
        <v>0</v>
      </c>
      <c r="BK57">
        <f t="shared" si="4"/>
        <v>0</v>
      </c>
      <c r="BL57">
        <f t="shared" si="5"/>
        <v>0</v>
      </c>
      <c r="BM57">
        <f t="shared" si="6"/>
        <v>0</v>
      </c>
      <c r="BN57">
        <f t="shared" si="7"/>
        <v>0</v>
      </c>
    </row>
    <row r="58" spans="1:67">
      <c r="A58" t="s">
        <v>58</v>
      </c>
      <c r="C58" s="12"/>
      <c r="D58" t="s">
        <v>4</v>
      </c>
      <c r="E58" s="10"/>
      <c r="F58" s="10"/>
      <c r="G58" s="10"/>
      <c r="H58" s="11"/>
      <c r="I58" s="11"/>
      <c r="J58" t="s">
        <v>4</v>
      </c>
      <c r="K58" s="10"/>
      <c r="L58" s="10"/>
      <c r="M58" s="10"/>
      <c r="N58" s="11"/>
      <c r="O58" s="11"/>
      <c r="P58" t="s">
        <v>4</v>
      </c>
      <c r="Q58" s="10"/>
      <c r="R58" s="10"/>
      <c r="S58" s="10"/>
      <c r="T58" s="11"/>
      <c r="U58" s="11"/>
      <c r="V58" t="s">
        <v>4</v>
      </c>
      <c r="W58" s="10"/>
      <c r="X58" s="12"/>
      <c r="Y58" s="10"/>
      <c r="Z58" s="10"/>
      <c r="AA58" s="11"/>
      <c r="AB58" s="12"/>
      <c r="AC58" s="12"/>
      <c r="AD58" s="11"/>
      <c r="AE58" t="s">
        <v>4</v>
      </c>
      <c r="AF58" s="10"/>
      <c r="AG58" s="10"/>
      <c r="AH58" s="10"/>
      <c r="AI58" s="11"/>
      <c r="AJ58" s="11"/>
      <c r="AK58" t="s">
        <v>4</v>
      </c>
      <c r="AL58" s="10"/>
      <c r="AM58" s="10"/>
      <c r="AN58" s="10"/>
      <c r="AO58" s="11"/>
      <c r="AP58" s="11"/>
      <c r="AQ58" t="s">
        <v>4</v>
      </c>
      <c r="AR58" s="10"/>
      <c r="AS58" s="10"/>
      <c r="AT58" s="10"/>
      <c r="AU58" s="11"/>
      <c r="AV58" s="11"/>
      <c r="AW58" t="s">
        <v>4</v>
      </c>
      <c r="AX58" s="10"/>
      <c r="AY58" s="10"/>
      <c r="AZ58" s="10"/>
      <c r="BA58" s="11"/>
      <c r="BB58" s="11"/>
      <c r="BC58" s="12"/>
      <c r="BG58">
        <f t="shared" si="0"/>
        <v>0</v>
      </c>
      <c r="BH58">
        <f t="shared" si="1"/>
        <v>0</v>
      </c>
      <c r="BI58">
        <f t="shared" si="2"/>
        <v>0</v>
      </c>
      <c r="BJ58">
        <f t="shared" si="3"/>
        <v>0</v>
      </c>
      <c r="BK58">
        <f t="shared" si="4"/>
        <v>0</v>
      </c>
      <c r="BL58">
        <f t="shared" si="5"/>
        <v>0</v>
      </c>
      <c r="BM58">
        <f t="shared" si="6"/>
        <v>0</v>
      </c>
      <c r="BN58">
        <f t="shared" si="7"/>
        <v>0</v>
      </c>
    </row>
    <row r="59" spans="1:67">
      <c r="A59" t="s">
        <v>59</v>
      </c>
      <c r="C59" s="12"/>
      <c r="D59" s="11"/>
      <c r="E59" t="s">
        <v>4</v>
      </c>
      <c r="F59" s="10"/>
      <c r="G59" s="10"/>
      <c r="H59" s="10"/>
      <c r="I59" s="11"/>
      <c r="J59" s="11"/>
      <c r="K59" t="s">
        <v>4</v>
      </c>
      <c r="L59" s="10"/>
      <c r="M59" s="10"/>
      <c r="N59" s="10"/>
      <c r="O59" s="11"/>
      <c r="P59" s="11"/>
      <c r="Q59" t="s">
        <v>4</v>
      </c>
      <c r="R59" s="10"/>
      <c r="S59" s="10"/>
      <c r="T59" s="10"/>
      <c r="U59" s="11"/>
      <c r="V59" s="11"/>
      <c r="W59" t="s">
        <v>4</v>
      </c>
      <c r="X59" s="12"/>
      <c r="Y59" s="10"/>
      <c r="Z59" s="10"/>
      <c r="AA59" s="10"/>
      <c r="AB59" s="12"/>
      <c r="AC59" s="12"/>
      <c r="AD59" s="11"/>
      <c r="AE59" s="11"/>
      <c r="AF59" t="s">
        <v>4</v>
      </c>
      <c r="AG59" s="10"/>
      <c r="AH59" s="10"/>
      <c r="AI59" s="10"/>
      <c r="AJ59" s="11"/>
      <c r="AK59" s="11"/>
      <c r="AL59" t="s">
        <v>4</v>
      </c>
      <c r="AM59" s="10"/>
      <c r="AN59" s="10"/>
      <c r="AO59" s="10"/>
      <c r="AP59" s="11"/>
      <c r="AQ59" s="11"/>
      <c r="AR59" t="s">
        <v>4</v>
      </c>
      <c r="AS59" s="10"/>
      <c r="AT59" s="10"/>
      <c r="AU59" s="10"/>
      <c r="AV59" s="11"/>
      <c r="AW59" s="11"/>
      <c r="AX59" t="s">
        <v>4</v>
      </c>
      <c r="AY59" s="10"/>
      <c r="AZ59" s="10"/>
      <c r="BA59" s="10"/>
      <c r="BB59" s="11"/>
      <c r="BC59" s="12"/>
      <c r="BG59">
        <f t="shared" si="0"/>
        <v>0</v>
      </c>
      <c r="BH59">
        <f t="shared" si="1"/>
        <v>0</v>
      </c>
      <c r="BI59">
        <f t="shared" si="2"/>
        <v>0</v>
      </c>
      <c r="BJ59">
        <f t="shared" si="3"/>
        <v>0</v>
      </c>
      <c r="BK59">
        <f t="shared" si="4"/>
        <v>0</v>
      </c>
      <c r="BL59">
        <f t="shared" si="5"/>
        <v>0</v>
      </c>
      <c r="BM59">
        <f t="shared" si="6"/>
        <v>0</v>
      </c>
      <c r="BN59">
        <f>COUNTIF(D59:BC59, "jeopardy")</f>
        <v>0</v>
      </c>
    </row>
    <row r="60" spans="1:67">
      <c r="A60" t="s">
        <v>60</v>
      </c>
      <c r="C60" s="12"/>
      <c r="D60" t="s">
        <v>4</v>
      </c>
      <c r="E60" s="20"/>
      <c r="F60" s="20"/>
      <c r="G60" s="20"/>
      <c r="H60" s="19"/>
      <c r="I60" s="19"/>
      <c r="J60" t="s">
        <v>4</v>
      </c>
      <c r="K60" s="20"/>
      <c r="L60" s="20"/>
      <c r="M60" s="20"/>
      <c r="N60" s="19"/>
      <c r="O60" s="19"/>
      <c r="P60" t="s">
        <v>4</v>
      </c>
      <c r="Q60" s="20"/>
      <c r="R60" s="20"/>
      <c r="S60" s="20"/>
      <c r="T60" s="19"/>
      <c r="U60" s="19"/>
      <c r="V60" t="s">
        <v>4</v>
      </c>
      <c r="W60" s="20"/>
      <c r="X60" s="12"/>
      <c r="Y60" s="20"/>
      <c r="Z60" s="20"/>
      <c r="AA60" s="19"/>
      <c r="AB60" s="12"/>
      <c r="AC60" s="12"/>
      <c r="AD60" s="19"/>
      <c r="AE60" t="s">
        <v>4</v>
      </c>
      <c r="AF60" s="20"/>
      <c r="AG60" s="20"/>
      <c r="AH60" s="20"/>
      <c r="AI60" s="19"/>
      <c r="AJ60" s="19"/>
      <c r="AK60" t="s">
        <v>4</v>
      </c>
      <c r="AL60" s="20"/>
      <c r="AM60" s="20"/>
      <c r="AN60" s="20"/>
      <c r="AO60" s="19"/>
      <c r="AP60" s="19"/>
      <c r="AQ60" t="s">
        <v>4</v>
      </c>
      <c r="AR60" s="20"/>
      <c r="AS60" s="20"/>
      <c r="AT60" s="20"/>
      <c r="AU60" s="19"/>
      <c r="AV60" s="19"/>
      <c r="AW60" t="s">
        <v>4</v>
      </c>
      <c r="AX60" s="20"/>
      <c r="AY60" s="20"/>
      <c r="AZ60" s="20"/>
      <c r="BA60" s="19"/>
      <c r="BB60" s="19"/>
      <c r="BC60" s="12"/>
      <c r="BG60">
        <f>COUNTIF(D60:BC60, "iSLUH*")</f>
        <v>0</v>
      </c>
      <c r="BH60">
        <f>COUNTIF(D60:BC60, "iVA*")</f>
        <v>0</v>
      </c>
      <c r="BI60">
        <f>COUNTIF(D60:BC60, "iMICU*")</f>
        <v>0</v>
      </c>
      <c r="BJ60">
        <f>COUNTIF(D60:BC60, "iNF*")</f>
        <v>0</v>
      </c>
      <c r="BK60" t="s">
        <v>145</v>
      </c>
      <c r="BL60">
        <f>COUNTIF(D60:BC60, "iCar*")</f>
        <v>0</v>
      </c>
      <c r="BM60" t="s">
        <v>145</v>
      </c>
      <c r="BN60">
        <f>COUNTIF(D60:BC60, "jeopardy")</f>
        <v>0</v>
      </c>
      <c r="BO60">
        <f>COUNTIF(D59:BC59, "Swing")</f>
        <v>0</v>
      </c>
    </row>
    <row r="61" spans="1:67" ht="15.75">
      <c r="A61" t="s">
        <v>61</v>
      </c>
      <c r="C61" s="12"/>
      <c r="D61" s="19"/>
      <c r="E61" t="s">
        <v>4</v>
      </c>
      <c r="F61" s="20"/>
      <c r="G61" s="20"/>
      <c r="H61" s="20"/>
      <c r="I61" s="19"/>
      <c r="J61" s="19"/>
      <c r="K61" t="s">
        <v>4</v>
      </c>
      <c r="L61" s="20"/>
      <c r="M61" s="20"/>
      <c r="N61" s="20"/>
      <c r="O61" s="19"/>
      <c r="P61" s="19"/>
      <c r="Q61" t="s">
        <v>4</v>
      </c>
      <c r="R61" s="20"/>
      <c r="S61" s="20"/>
      <c r="T61" s="20"/>
      <c r="U61" s="19"/>
      <c r="V61" s="19"/>
      <c r="W61" t="s">
        <v>4</v>
      </c>
      <c r="X61" s="12"/>
      <c r="Y61" s="20"/>
      <c r="Z61" s="20"/>
      <c r="AA61" s="20"/>
      <c r="AB61" s="12"/>
      <c r="AC61" s="12"/>
      <c r="AD61" s="19"/>
      <c r="AE61" s="19"/>
      <c r="AF61" t="s">
        <v>4</v>
      </c>
      <c r="AG61" s="20"/>
      <c r="AH61" s="20"/>
      <c r="AI61" s="20"/>
      <c r="AJ61" s="19"/>
      <c r="AK61" s="19"/>
      <c r="AL61" t="s">
        <v>4</v>
      </c>
      <c r="AM61" s="20"/>
      <c r="AN61" s="20"/>
      <c r="AO61" s="20"/>
      <c r="AP61" s="19"/>
      <c r="AQ61" s="19"/>
      <c r="AR61" t="s">
        <v>4</v>
      </c>
      <c r="AS61" s="20"/>
      <c r="AT61" s="20"/>
      <c r="AU61" s="20"/>
      <c r="AV61" s="19"/>
      <c r="AW61" s="19"/>
      <c r="AX61" t="s">
        <v>4</v>
      </c>
      <c r="AY61" s="20"/>
      <c r="AZ61" s="20"/>
      <c r="BA61" s="20"/>
      <c r="BB61" s="19"/>
      <c r="BC61" s="12"/>
      <c r="BG61">
        <f t="shared" ref="BG61:BG90" si="8">COUNTIF(D61:BC61, "iSLUH*")</f>
        <v>0</v>
      </c>
      <c r="BH61">
        <f t="shared" ref="BH61:BH90" si="9">COUNTIF(D61:BC61, "iVA*")</f>
        <v>0</v>
      </c>
      <c r="BI61">
        <f t="shared" ref="BI61:BI90" si="10">COUNTIF(D61:BC61, "iMICU*")</f>
        <v>0</v>
      </c>
      <c r="BJ61">
        <f t="shared" ref="BJ61:BJ90" si="11">COUNTIF(D61:BC61, "iNF*")</f>
        <v>0</v>
      </c>
      <c r="BK61" t="s">
        <v>145</v>
      </c>
      <c r="BL61">
        <f t="shared" ref="BL61:BL90" si="12">COUNTIF(D61:BC61, "iCar*")</f>
        <v>0</v>
      </c>
      <c r="BM61" t="s">
        <v>145</v>
      </c>
      <c r="BN61">
        <f t="shared" ref="BN61:BN90" si="13">COUNTIF(D61:BC61, "jeopardy")</f>
        <v>0</v>
      </c>
      <c r="BO61">
        <f t="shared" ref="BO61:BO90" si="14">COUNTIF(D60:BC60, "Swing")</f>
        <v>0</v>
      </c>
    </row>
    <row r="62" spans="1:67" ht="15.75">
      <c r="A62" t="s">
        <v>62</v>
      </c>
      <c r="C62" s="12"/>
      <c r="D62" s="20"/>
      <c r="E62" s="19"/>
      <c r="F62" t="s">
        <v>4</v>
      </c>
      <c r="G62" s="20"/>
      <c r="H62" s="20"/>
      <c r="I62" s="20"/>
      <c r="J62" s="19"/>
      <c r="K62" s="19"/>
      <c r="L62" t="s">
        <v>4</v>
      </c>
      <c r="M62" s="20"/>
      <c r="N62" s="20"/>
      <c r="O62" s="20"/>
      <c r="P62" s="19"/>
      <c r="Q62" s="19"/>
      <c r="R62" t="s">
        <v>4</v>
      </c>
      <c r="S62" s="20"/>
      <c r="T62" s="20"/>
      <c r="U62" s="20"/>
      <c r="V62" s="19"/>
      <c r="W62" s="19"/>
      <c r="X62" s="12"/>
      <c r="Y62" t="s">
        <v>4</v>
      </c>
      <c r="Z62" s="20"/>
      <c r="AA62" s="20"/>
      <c r="AB62" s="12"/>
      <c r="AC62" s="12"/>
      <c r="AD62" s="20"/>
      <c r="AE62" s="19"/>
      <c r="AF62" s="19"/>
      <c r="AG62" t="s">
        <v>4</v>
      </c>
      <c r="AH62" s="20"/>
      <c r="AI62" s="20"/>
      <c r="AJ62" s="20"/>
      <c r="AK62" s="19"/>
      <c r="AL62" s="19"/>
      <c r="AM62" t="s">
        <v>4</v>
      </c>
      <c r="AN62" s="20"/>
      <c r="AO62" s="20"/>
      <c r="AP62" s="20"/>
      <c r="AQ62" s="19"/>
      <c r="AR62" s="19"/>
      <c r="AS62" t="s">
        <v>4</v>
      </c>
      <c r="AT62" s="20"/>
      <c r="AU62" s="20"/>
      <c r="AV62" s="20"/>
      <c r="AW62" s="19"/>
      <c r="AX62" s="19"/>
      <c r="AY62" t="s">
        <v>4</v>
      </c>
      <c r="AZ62" s="20"/>
      <c r="BA62" s="20"/>
      <c r="BB62" s="20"/>
      <c r="BC62" s="12"/>
      <c r="BG62">
        <f t="shared" si="8"/>
        <v>0</v>
      </c>
      <c r="BH62">
        <f t="shared" si="9"/>
        <v>0</v>
      </c>
      <c r="BI62">
        <f t="shared" si="10"/>
        <v>0</v>
      </c>
      <c r="BJ62">
        <f t="shared" si="11"/>
        <v>0</v>
      </c>
      <c r="BK62" t="s">
        <v>145</v>
      </c>
      <c r="BL62">
        <f t="shared" si="12"/>
        <v>0</v>
      </c>
      <c r="BM62" t="s">
        <v>145</v>
      </c>
      <c r="BN62">
        <f t="shared" si="13"/>
        <v>0</v>
      </c>
      <c r="BO62">
        <f t="shared" si="14"/>
        <v>0</v>
      </c>
    </row>
    <row r="63" spans="1:67" ht="15.75">
      <c r="A63" t="s">
        <v>63</v>
      </c>
      <c r="C63" s="12"/>
      <c r="D63" s="20"/>
      <c r="E63" s="20"/>
      <c r="F63" s="20"/>
      <c r="G63" t="s">
        <v>4</v>
      </c>
      <c r="H63" s="20"/>
      <c r="I63" s="20"/>
      <c r="J63" s="20"/>
      <c r="K63" s="19"/>
      <c r="L63" s="19"/>
      <c r="M63" t="s">
        <v>4</v>
      </c>
      <c r="N63" s="20"/>
      <c r="O63" s="20"/>
      <c r="P63" s="20"/>
      <c r="Q63" s="19"/>
      <c r="R63" s="19"/>
      <c r="S63" t="s">
        <v>4</v>
      </c>
      <c r="T63" s="20"/>
      <c r="U63" s="20"/>
      <c r="V63" s="20"/>
      <c r="W63" s="19"/>
      <c r="X63" s="12"/>
      <c r="Y63" s="19"/>
      <c r="Z63" t="s">
        <v>4</v>
      </c>
      <c r="AA63" s="20"/>
      <c r="AB63" s="12"/>
      <c r="AC63" s="12"/>
      <c r="AD63" s="20"/>
      <c r="AE63" s="20"/>
      <c r="AF63" s="19"/>
      <c r="AG63" s="19"/>
      <c r="AH63" t="s">
        <v>4</v>
      </c>
      <c r="AI63" s="20"/>
      <c r="AJ63" s="20"/>
      <c r="AK63" s="20"/>
      <c r="AL63" s="19"/>
      <c r="AM63" s="19"/>
      <c r="AN63" t="s">
        <v>4</v>
      </c>
      <c r="AO63" s="20"/>
      <c r="AP63" s="20"/>
      <c r="AQ63" s="20"/>
      <c r="AR63" s="19"/>
      <c r="AS63" s="19"/>
      <c r="AT63" t="s">
        <v>4</v>
      </c>
      <c r="AU63" s="20"/>
      <c r="AV63" s="20"/>
      <c r="AW63" s="20"/>
      <c r="AX63" s="19"/>
      <c r="AY63" s="19"/>
      <c r="AZ63" t="s">
        <v>4</v>
      </c>
      <c r="BA63" s="20"/>
      <c r="BB63" s="20"/>
      <c r="BC63" s="12"/>
      <c r="BG63">
        <f t="shared" si="8"/>
        <v>0</v>
      </c>
      <c r="BH63">
        <f t="shared" si="9"/>
        <v>0</v>
      </c>
      <c r="BI63">
        <f t="shared" si="10"/>
        <v>0</v>
      </c>
      <c r="BJ63">
        <f t="shared" si="11"/>
        <v>0</v>
      </c>
      <c r="BK63" t="s">
        <v>145</v>
      </c>
      <c r="BL63">
        <f t="shared" si="12"/>
        <v>0</v>
      </c>
      <c r="BM63" t="s">
        <v>145</v>
      </c>
      <c r="BN63">
        <f t="shared" si="13"/>
        <v>0</v>
      </c>
      <c r="BO63">
        <f t="shared" si="14"/>
        <v>0</v>
      </c>
    </row>
    <row r="64" spans="1:67" ht="15.75">
      <c r="A64" t="s">
        <v>64</v>
      </c>
      <c r="C64" s="12"/>
      <c r="D64" s="20"/>
      <c r="E64" s="20"/>
      <c r="F64" s="19"/>
      <c r="G64" s="19"/>
      <c r="H64" t="s">
        <v>4</v>
      </c>
      <c r="I64" s="20"/>
      <c r="J64" s="20"/>
      <c r="K64" s="20"/>
      <c r="L64" s="19"/>
      <c r="M64" s="19"/>
      <c r="N64" t="s">
        <v>4</v>
      </c>
      <c r="O64" s="20"/>
      <c r="P64" s="20"/>
      <c r="Q64" s="20"/>
      <c r="R64" s="19"/>
      <c r="S64" s="19"/>
      <c r="T64" t="s">
        <v>4</v>
      </c>
      <c r="U64" s="20"/>
      <c r="V64" s="20"/>
      <c r="W64" s="20"/>
      <c r="X64" s="12"/>
      <c r="Y64" s="19"/>
      <c r="Z64" s="19"/>
      <c r="AA64" t="s">
        <v>4</v>
      </c>
      <c r="AB64" s="12"/>
      <c r="AC64" s="12"/>
      <c r="AD64" s="20"/>
      <c r="AE64" s="20"/>
      <c r="AF64" s="20"/>
      <c r="AG64" s="19"/>
      <c r="AH64" s="19"/>
      <c r="AI64" t="s">
        <v>4</v>
      </c>
      <c r="AJ64" s="20"/>
      <c r="AK64" s="20"/>
      <c r="AL64" s="20"/>
      <c r="AM64" s="19"/>
      <c r="AN64" s="19"/>
      <c r="AO64" t="s">
        <v>4</v>
      </c>
      <c r="AP64" s="20"/>
      <c r="AQ64" s="20"/>
      <c r="AR64" s="20"/>
      <c r="AS64" s="19"/>
      <c r="AT64" s="19"/>
      <c r="AU64" t="s">
        <v>4</v>
      </c>
      <c r="AV64" s="20"/>
      <c r="AW64" s="20"/>
      <c r="AX64" s="20"/>
      <c r="AY64" s="19"/>
      <c r="AZ64" s="19"/>
      <c r="BA64" t="s">
        <v>4</v>
      </c>
      <c r="BB64" s="20"/>
      <c r="BC64" s="12"/>
      <c r="BG64">
        <f t="shared" si="8"/>
        <v>0</v>
      </c>
      <c r="BH64">
        <f t="shared" si="9"/>
        <v>0</v>
      </c>
      <c r="BI64">
        <f t="shared" si="10"/>
        <v>0</v>
      </c>
      <c r="BJ64">
        <f t="shared" si="11"/>
        <v>0</v>
      </c>
      <c r="BK64" t="s">
        <v>145</v>
      </c>
      <c r="BL64">
        <f t="shared" si="12"/>
        <v>0</v>
      </c>
      <c r="BM64" t="s">
        <v>145</v>
      </c>
      <c r="BN64">
        <f t="shared" si="13"/>
        <v>0</v>
      </c>
      <c r="BO64">
        <f t="shared" si="14"/>
        <v>0</v>
      </c>
    </row>
    <row r="65" spans="1:67" ht="15.75">
      <c r="A65" t="s">
        <v>65</v>
      </c>
      <c r="C65" s="12"/>
      <c r="D65" s="20"/>
      <c r="E65" s="20"/>
      <c r="F65" s="20"/>
      <c r="G65" s="19"/>
      <c r="H65" s="19"/>
      <c r="I65" t="s">
        <v>4</v>
      </c>
      <c r="J65" s="20"/>
      <c r="K65" s="20"/>
      <c r="L65" s="20"/>
      <c r="M65" s="19"/>
      <c r="N65" s="19"/>
      <c r="O65" t="s">
        <v>4</v>
      </c>
      <c r="P65" s="20"/>
      <c r="Q65" s="20"/>
      <c r="R65" s="20"/>
      <c r="S65" s="19"/>
      <c r="T65" s="19"/>
      <c r="U65" t="s">
        <v>4</v>
      </c>
      <c r="V65" s="20"/>
      <c r="W65" s="20"/>
      <c r="X65" s="12"/>
      <c r="Y65" s="20"/>
      <c r="Z65" s="19"/>
      <c r="AA65" s="19"/>
      <c r="AB65" s="12"/>
      <c r="AC65" s="12"/>
      <c r="AD65" t="s">
        <v>4</v>
      </c>
      <c r="AE65" s="20"/>
      <c r="AF65" s="20"/>
      <c r="AG65" s="20"/>
      <c r="AH65" s="19"/>
      <c r="AI65" s="19"/>
      <c r="AJ65" t="s">
        <v>4</v>
      </c>
      <c r="AK65" s="20"/>
      <c r="AL65" s="20"/>
      <c r="AM65" s="20"/>
      <c r="AN65" s="19"/>
      <c r="AO65" s="19"/>
      <c r="AP65" t="s">
        <v>4</v>
      </c>
      <c r="AQ65" s="20"/>
      <c r="AR65" s="20"/>
      <c r="AS65" s="20"/>
      <c r="AT65" s="19"/>
      <c r="AU65" s="19"/>
      <c r="AV65" t="s">
        <v>4</v>
      </c>
      <c r="AW65" s="20"/>
      <c r="AX65" s="20"/>
      <c r="AY65" s="20"/>
      <c r="AZ65" s="19"/>
      <c r="BA65" s="19"/>
      <c r="BB65" t="s">
        <v>4</v>
      </c>
      <c r="BC65" s="12"/>
      <c r="BG65">
        <f t="shared" si="8"/>
        <v>0</v>
      </c>
      <c r="BH65">
        <f t="shared" si="9"/>
        <v>0</v>
      </c>
      <c r="BI65">
        <f t="shared" si="10"/>
        <v>0</v>
      </c>
      <c r="BJ65">
        <f t="shared" si="11"/>
        <v>0</v>
      </c>
      <c r="BK65" t="s">
        <v>145</v>
      </c>
      <c r="BL65">
        <f t="shared" si="12"/>
        <v>0</v>
      </c>
      <c r="BM65" t="s">
        <v>145</v>
      </c>
      <c r="BN65">
        <f t="shared" si="13"/>
        <v>0</v>
      </c>
      <c r="BO65">
        <f t="shared" si="14"/>
        <v>0</v>
      </c>
    </row>
    <row r="66" spans="1:67" ht="15.75">
      <c r="A66" t="s">
        <v>66</v>
      </c>
      <c r="C66" s="12"/>
      <c r="D66" t="s">
        <v>4</v>
      </c>
      <c r="E66" s="20"/>
      <c r="F66" s="20"/>
      <c r="G66" s="20"/>
      <c r="H66" s="19"/>
      <c r="I66" s="19"/>
      <c r="J66" t="s">
        <v>4</v>
      </c>
      <c r="K66" s="20"/>
      <c r="L66" s="20"/>
      <c r="M66" s="20"/>
      <c r="N66" s="19"/>
      <c r="O66" s="19"/>
      <c r="P66" t="s">
        <v>4</v>
      </c>
      <c r="Q66" s="20"/>
      <c r="R66" s="20"/>
      <c r="S66" s="20"/>
      <c r="T66" s="19"/>
      <c r="U66" s="19"/>
      <c r="V66" t="s">
        <v>4</v>
      </c>
      <c r="W66" s="20"/>
      <c r="X66" s="12"/>
      <c r="Y66" s="20"/>
      <c r="Z66" s="20"/>
      <c r="AA66" s="19"/>
      <c r="AB66" s="12"/>
      <c r="AC66" s="12"/>
      <c r="AD66" s="19"/>
      <c r="AE66" t="s">
        <v>4</v>
      </c>
      <c r="AF66" s="20"/>
      <c r="AG66" s="20"/>
      <c r="AH66" s="20"/>
      <c r="AI66" s="19"/>
      <c r="AJ66" s="19"/>
      <c r="AK66" t="s">
        <v>4</v>
      </c>
      <c r="AL66" s="20"/>
      <c r="AM66" s="20"/>
      <c r="AN66" s="20"/>
      <c r="AO66" s="19"/>
      <c r="AP66" s="19"/>
      <c r="AQ66" t="s">
        <v>4</v>
      </c>
      <c r="AR66" s="20"/>
      <c r="AS66" s="20"/>
      <c r="AT66" s="20"/>
      <c r="AU66" s="19"/>
      <c r="AV66" s="19"/>
      <c r="AW66" t="s">
        <v>4</v>
      </c>
      <c r="AX66" s="20"/>
      <c r="AY66" s="20"/>
      <c r="AZ66" s="20"/>
      <c r="BA66" s="19"/>
      <c r="BB66" s="19"/>
      <c r="BC66" s="12"/>
      <c r="BG66">
        <f t="shared" si="8"/>
        <v>0</v>
      </c>
      <c r="BH66">
        <f t="shared" si="9"/>
        <v>0</v>
      </c>
      <c r="BI66">
        <f t="shared" si="10"/>
        <v>0</v>
      </c>
      <c r="BJ66">
        <f t="shared" si="11"/>
        <v>0</v>
      </c>
      <c r="BK66" t="s">
        <v>145</v>
      </c>
      <c r="BL66">
        <f t="shared" si="12"/>
        <v>0</v>
      </c>
      <c r="BM66" t="s">
        <v>145</v>
      </c>
      <c r="BN66">
        <f t="shared" si="13"/>
        <v>0</v>
      </c>
      <c r="BO66">
        <f t="shared" si="14"/>
        <v>0</v>
      </c>
    </row>
    <row r="67" spans="1:67" ht="15.75">
      <c r="A67" t="s">
        <v>67</v>
      </c>
      <c r="C67" s="12"/>
      <c r="D67" s="19"/>
      <c r="E67" t="s">
        <v>4</v>
      </c>
      <c r="F67" s="20"/>
      <c r="G67" s="20"/>
      <c r="H67" s="20"/>
      <c r="I67" s="19"/>
      <c r="J67" s="19"/>
      <c r="K67" t="s">
        <v>4</v>
      </c>
      <c r="L67" s="20"/>
      <c r="M67" s="20"/>
      <c r="N67" s="20"/>
      <c r="O67" s="19"/>
      <c r="P67" s="19"/>
      <c r="Q67" t="s">
        <v>4</v>
      </c>
      <c r="R67" s="20"/>
      <c r="S67" s="20"/>
      <c r="T67" s="20"/>
      <c r="U67" s="19"/>
      <c r="V67" s="19"/>
      <c r="W67" t="s">
        <v>4</v>
      </c>
      <c r="X67" s="12"/>
      <c r="Y67" s="20"/>
      <c r="Z67" s="20"/>
      <c r="AA67" s="20"/>
      <c r="AB67" s="12"/>
      <c r="AC67" s="12"/>
      <c r="AD67" s="19"/>
      <c r="AE67" s="19"/>
      <c r="AF67" t="s">
        <v>4</v>
      </c>
      <c r="AG67" s="20"/>
      <c r="AH67" s="20"/>
      <c r="AI67" s="20"/>
      <c r="AJ67" s="19"/>
      <c r="AK67" s="19"/>
      <c r="AL67" t="s">
        <v>4</v>
      </c>
      <c r="AM67" s="20"/>
      <c r="AN67" s="20"/>
      <c r="AO67" s="20"/>
      <c r="AP67" s="19"/>
      <c r="AQ67" s="19"/>
      <c r="AR67" t="s">
        <v>4</v>
      </c>
      <c r="AS67" s="20"/>
      <c r="AT67" s="20"/>
      <c r="AU67" s="20"/>
      <c r="AV67" s="19"/>
      <c r="AW67" s="19"/>
      <c r="AX67" t="s">
        <v>4</v>
      </c>
      <c r="AY67" s="20"/>
      <c r="AZ67" s="20"/>
      <c r="BA67" s="20"/>
      <c r="BB67" s="19"/>
      <c r="BC67" s="12"/>
      <c r="BG67">
        <f t="shared" si="8"/>
        <v>0</v>
      </c>
      <c r="BH67">
        <f t="shared" si="9"/>
        <v>0</v>
      </c>
      <c r="BI67">
        <f t="shared" si="10"/>
        <v>0</v>
      </c>
      <c r="BJ67">
        <f t="shared" si="11"/>
        <v>0</v>
      </c>
      <c r="BK67" t="s">
        <v>145</v>
      </c>
      <c r="BL67">
        <f t="shared" si="12"/>
        <v>0</v>
      </c>
      <c r="BM67" t="s">
        <v>145</v>
      </c>
      <c r="BN67">
        <f t="shared" si="13"/>
        <v>0</v>
      </c>
      <c r="BO67">
        <f t="shared" si="14"/>
        <v>0</v>
      </c>
    </row>
    <row r="68" spans="1:67" ht="15.75">
      <c r="A68" t="s">
        <v>68</v>
      </c>
      <c r="C68" s="12"/>
      <c r="D68" s="20"/>
      <c r="E68" s="19"/>
      <c r="F68" t="s">
        <v>4</v>
      </c>
      <c r="G68" s="20"/>
      <c r="H68" s="20"/>
      <c r="I68" s="20"/>
      <c r="J68" s="19"/>
      <c r="K68" s="19"/>
      <c r="L68" t="s">
        <v>4</v>
      </c>
      <c r="M68" s="20"/>
      <c r="N68" s="20"/>
      <c r="O68" s="20"/>
      <c r="P68" s="19"/>
      <c r="Q68" s="19"/>
      <c r="R68" t="s">
        <v>4</v>
      </c>
      <c r="S68" s="20"/>
      <c r="T68" s="20"/>
      <c r="U68" s="20"/>
      <c r="V68" s="19"/>
      <c r="W68" s="19"/>
      <c r="X68" s="12"/>
      <c r="Y68" t="s">
        <v>4</v>
      </c>
      <c r="Z68" s="20"/>
      <c r="AA68" s="20"/>
      <c r="AB68" s="12"/>
      <c r="AC68" s="12"/>
      <c r="AD68" s="20"/>
      <c r="AE68" s="19"/>
      <c r="AF68" s="19"/>
      <c r="AG68" t="s">
        <v>4</v>
      </c>
      <c r="AH68" s="20"/>
      <c r="AI68" s="20"/>
      <c r="AJ68" s="20"/>
      <c r="AK68" s="19"/>
      <c r="AL68" s="19"/>
      <c r="AM68" t="s">
        <v>4</v>
      </c>
      <c r="AN68" s="20"/>
      <c r="AO68" s="20"/>
      <c r="AP68" s="20"/>
      <c r="AQ68" s="19"/>
      <c r="AR68" s="19"/>
      <c r="AS68" t="s">
        <v>4</v>
      </c>
      <c r="AT68" s="20"/>
      <c r="AU68" s="20"/>
      <c r="AV68" s="20"/>
      <c r="AW68" s="19"/>
      <c r="AX68" s="19"/>
      <c r="AY68" t="s">
        <v>4</v>
      </c>
      <c r="AZ68" s="20"/>
      <c r="BA68" s="20"/>
      <c r="BB68" s="20"/>
      <c r="BC68" s="12"/>
      <c r="BG68">
        <f t="shared" si="8"/>
        <v>0</v>
      </c>
      <c r="BH68">
        <f t="shared" si="9"/>
        <v>0</v>
      </c>
      <c r="BI68">
        <f t="shared" si="10"/>
        <v>0</v>
      </c>
      <c r="BJ68">
        <f t="shared" si="11"/>
        <v>0</v>
      </c>
      <c r="BK68" t="s">
        <v>145</v>
      </c>
      <c r="BL68">
        <f t="shared" si="12"/>
        <v>0</v>
      </c>
      <c r="BM68" t="s">
        <v>145</v>
      </c>
      <c r="BN68">
        <f t="shared" si="13"/>
        <v>0</v>
      </c>
      <c r="BO68">
        <f t="shared" si="14"/>
        <v>0</v>
      </c>
    </row>
    <row r="69" spans="1:67" ht="15.75">
      <c r="A69" t="s">
        <v>69</v>
      </c>
      <c r="C69" s="12"/>
      <c r="D69" s="20"/>
      <c r="E69" s="20"/>
      <c r="F69" s="20"/>
      <c r="G69" t="s">
        <v>4</v>
      </c>
      <c r="H69" s="20"/>
      <c r="I69" s="20"/>
      <c r="J69" s="20"/>
      <c r="K69" s="19"/>
      <c r="L69" s="19"/>
      <c r="M69" t="s">
        <v>4</v>
      </c>
      <c r="N69" s="20"/>
      <c r="O69" s="20"/>
      <c r="P69" s="20"/>
      <c r="Q69" s="19"/>
      <c r="R69" s="19"/>
      <c r="S69" t="s">
        <v>4</v>
      </c>
      <c r="T69" s="20"/>
      <c r="U69" s="20"/>
      <c r="V69" s="20"/>
      <c r="W69" s="19"/>
      <c r="X69" s="12"/>
      <c r="Y69" s="19"/>
      <c r="Z69" t="s">
        <v>4</v>
      </c>
      <c r="AA69" s="20"/>
      <c r="AB69" s="12"/>
      <c r="AC69" s="12"/>
      <c r="AD69" s="20"/>
      <c r="AE69" s="20"/>
      <c r="AF69" s="19"/>
      <c r="AG69" s="19"/>
      <c r="AH69" t="s">
        <v>4</v>
      </c>
      <c r="AI69" s="20"/>
      <c r="AJ69" s="20"/>
      <c r="AK69" s="20"/>
      <c r="AL69" s="19"/>
      <c r="AM69" s="19"/>
      <c r="AN69" t="s">
        <v>4</v>
      </c>
      <c r="AO69" s="20"/>
      <c r="AP69" s="20"/>
      <c r="AQ69" s="20"/>
      <c r="AR69" s="19"/>
      <c r="AS69" s="19"/>
      <c r="AT69" t="s">
        <v>4</v>
      </c>
      <c r="AU69" s="20"/>
      <c r="AV69" s="20"/>
      <c r="AW69" s="20"/>
      <c r="AX69" s="19"/>
      <c r="AY69" s="19"/>
      <c r="AZ69" t="s">
        <v>4</v>
      </c>
      <c r="BA69" s="20"/>
      <c r="BB69" s="20"/>
      <c r="BC69" s="12"/>
      <c r="BG69">
        <f t="shared" si="8"/>
        <v>0</v>
      </c>
      <c r="BH69">
        <f t="shared" si="9"/>
        <v>0</v>
      </c>
      <c r="BI69">
        <f t="shared" si="10"/>
        <v>0</v>
      </c>
      <c r="BJ69">
        <f t="shared" si="11"/>
        <v>0</v>
      </c>
      <c r="BK69" t="s">
        <v>145</v>
      </c>
      <c r="BL69">
        <f t="shared" si="12"/>
        <v>0</v>
      </c>
      <c r="BM69" t="s">
        <v>145</v>
      </c>
      <c r="BN69">
        <f t="shared" si="13"/>
        <v>0</v>
      </c>
      <c r="BO69">
        <f t="shared" si="14"/>
        <v>0</v>
      </c>
    </row>
    <row r="70" spans="1:67" ht="15.75">
      <c r="A70" t="s">
        <v>70</v>
      </c>
      <c r="C70" s="12"/>
      <c r="D70" s="20"/>
      <c r="E70" s="20"/>
      <c r="F70" s="19"/>
      <c r="G70" s="19"/>
      <c r="H70" t="s">
        <v>4</v>
      </c>
      <c r="I70" s="20"/>
      <c r="J70" s="20"/>
      <c r="K70" s="20"/>
      <c r="L70" s="19"/>
      <c r="M70" s="19"/>
      <c r="N70" t="s">
        <v>4</v>
      </c>
      <c r="O70" s="20"/>
      <c r="P70" s="20"/>
      <c r="Q70" s="20"/>
      <c r="R70" s="19"/>
      <c r="S70" s="19"/>
      <c r="T70" t="s">
        <v>4</v>
      </c>
      <c r="U70" s="20"/>
      <c r="V70" s="20"/>
      <c r="W70" s="20"/>
      <c r="X70" s="12"/>
      <c r="Y70" s="19"/>
      <c r="Z70" s="19"/>
      <c r="AA70" t="s">
        <v>4</v>
      </c>
      <c r="AB70" s="12"/>
      <c r="AC70" s="12"/>
      <c r="AD70" s="20"/>
      <c r="AE70" s="20"/>
      <c r="AF70" s="20"/>
      <c r="AG70" s="19"/>
      <c r="AH70" s="19"/>
      <c r="AI70" t="s">
        <v>4</v>
      </c>
      <c r="AJ70" s="20"/>
      <c r="AK70" s="20"/>
      <c r="AL70" s="20"/>
      <c r="AM70" s="19"/>
      <c r="AN70" s="19"/>
      <c r="AO70" t="s">
        <v>4</v>
      </c>
      <c r="AP70" s="20"/>
      <c r="AQ70" s="20"/>
      <c r="AR70" s="20"/>
      <c r="AS70" s="19"/>
      <c r="AT70" s="19"/>
      <c r="AU70" t="s">
        <v>4</v>
      </c>
      <c r="AV70" s="20"/>
      <c r="AW70" s="20"/>
      <c r="AX70" s="20"/>
      <c r="AY70" s="19"/>
      <c r="AZ70" s="19"/>
      <c r="BA70" t="s">
        <v>4</v>
      </c>
      <c r="BB70" s="20"/>
      <c r="BC70" s="12"/>
      <c r="BG70">
        <f t="shared" si="8"/>
        <v>0</v>
      </c>
      <c r="BH70">
        <f t="shared" si="9"/>
        <v>0</v>
      </c>
      <c r="BI70">
        <f t="shared" si="10"/>
        <v>0</v>
      </c>
      <c r="BJ70">
        <f t="shared" si="11"/>
        <v>0</v>
      </c>
      <c r="BK70" t="s">
        <v>145</v>
      </c>
      <c r="BL70">
        <f t="shared" si="12"/>
        <v>0</v>
      </c>
      <c r="BM70" t="s">
        <v>145</v>
      </c>
      <c r="BN70">
        <f t="shared" si="13"/>
        <v>0</v>
      </c>
      <c r="BO70">
        <f t="shared" si="14"/>
        <v>0</v>
      </c>
    </row>
    <row r="71" spans="1:67" ht="15.75">
      <c r="A71" t="s">
        <v>71</v>
      </c>
      <c r="C71" s="12"/>
      <c r="D71" s="20"/>
      <c r="E71" s="20"/>
      <c r="F71" s="20"/>
      <c r="G71" s="19"/>
      <c r="H71" s="19"/>
      <c r="I71" t="s">
        <v>4</v>
      </c>
      <c r="J71" s="20"/>
      <c r="K71" s="20"/>
      <c r="L71" s="20"/>
      <c r="M71" s="19"/>
      <c r="N71" s="19"/>
      <c r="O71" t="s">
        <v>4</v>
      </c>
      <c r="P71" s="20"/>
      <c r="Q71" s="20"/>
      <c r="R71" s="20"/>
      <c r="S71" s="19"/>
      <c r="T71" s="19"/>
      <c r="U71" t="s">
        <v>4</v>
      </c>
      <c r="V71" s="20"/>
      <c r="W71" s="20"/>
      <c r="X71" s="12"/>
      <c r="Y71" s="20"/>
      <c r="Z71" s="19"/>
      <c r="AA71" s="19"/>
      <c r="AB71" s="12"/>
      <c r="AC71" s="12"/>
      <c r="AD71" t="s">
        <v>4</v>
      </c>
      <c r="AE71" s="20"/>
      <c r="AF71" s="20"/>
      <c r="AG71" s="20"/>
      <c r="AH71" s="19"/>
      <c r="AI71" s="19"/>
      <c r="AJ71" t="s">
        <v>4</v>
      </c>
      <c r="AK71" s="20"/>
      <c r="AL71" s="20"/>
      <c r="AM71" s="20"/>
      <c r="AN71" s="19"/>
      <c r="AO71" s="19"/>
      <c r="AP71" t="s">
        <v>4</v>
      </c>
      <c r="AQ71" s="20"/>
      <c r="AR71" s="20"/>
      <c r="AS71" s="20"/>
      <c r="AT71" s="19"/>
      <c r="AU71" s="19"/>
      <c r="AV71" t="s">
        <v>4</v>
      </c>
      <c r="AW71" s="20"/>
      <c r="AX71" s="20"/>
      <c r="AY71" s="20"/>
      <c r="AZ71" s="19"/>
      <c r="BA71" s="19"/>
      <c r="BB71" t="s">
        <v>4</v>
      </c>
      <c r="BC71" s="12"/>
      <c r="BG71">
        <f t="shared" si="8"/>
        <v>0</v>
      </c>
      <c r="BH71">
        <f t="shared" si="9"/>
        <v>0</v>
      </c>
      <c r="BI71">
        <f t="shared" si="10"/>
        <v>0</v>
      </c>
      <c r="BJ71">
        <f t="shared" si="11"/>
        <v>0</v>
      </c>
      <c r="BK71" t="s">
        <v>145</v>
      </c>
      <c r="BL71">
        <f t="shared" si="12"/>
        <v>0</v>
      </c>
      <c r="BM71" t="s">
        <v>145</v>
      </c>
      <c r="BN71">
        <f t="shared" si="13"/>
        <v>0</v>
      </c>
      <c r="BO71">
        <f t="shared" si="14"/>
        <v>0</v>
      </c>
    </row>
    <row r="72" spans="1:67" ht="15.75">
      <c r="A72" t="s">
        <v>72</v>
      </c>
      <c r="C72" s="12"/>
      <c r="D72" t="s">
        <v>4</v>
      </c>
      <c r="E72" s="20"/>
      <c r="F72" s="20"/>
      <c r="G72" s="20"/>
      <c r="H72" s="19"/>
      <c r="I72" s="19"/>
      <c r="J72" t="s">
        <v>4</v>
      </c>
      <c r="K72" s="20"/>
      <c r="L72" s="20"/>
      <c r="M72" s="20"/>
      <c r="N72" s="19"/>
      <c r="O72" s="19"/>
      <c r="P72" t="s">
        <v>4</v>
      </c>
      <c r="Q72" s="20"/>
      <c r="R72" s="20"/>
      <c r="S72" s="20"/>
      <c r="T72" s="19"/>
      <c r="U72" s="19"/>
      <c r="V72" t="s">
        <v>4</v>
      </c>
      <c r="W72" s="20"/>
      <c r="X72" s="12"/>
      <c r="Y72" s="20"/>
      <c r="Z72" s="20"/>
      <c r="AA72" s="19"/>
      <c r="AB72" s="12"/>
      <c r="AC72" s="12"/>
      <c r="AD72" s="19"/>
      <c r="AE72" t="s">
        <v>4</v>
      </c>
      <c r="AF72" s="20"/>
      <c r="AG72" s="20"/>
      <c r="AH72" s="20"/>
      <c r="AI72" s="19"/>
      <c r="AJ72" s="19"/>
      <c r="AK72" t="s">
        <v>4</v>
      </c>
      <c r="AL72" s="20"/>
      <c r="AM72" s="20"/>
      <c r="AN72" s="20"/>
      <c r="AO72" s="19"/>
      <c r="AP72" s="19"/>
      <c r="AQ72" t="s">
        <v>4</v>
      </c>
      <c r="AR72" s="20"/>
      <c r="AS72" s="20"/>
      <c r="AT72" s="20"/>
      <c r="AU72" s="19"/>
      <c r="AV72" s="19"/>
      <c r="AW72" t="s">
        <v>4</v>
      </c>
      <c r="AX72" s="20"/>
      <c r="AY72" s="20"/>
      <c r="AZ72" s="20"/>
      <c r="BA72" s="19"/>
      <c r="BB72" s="19"/>
      <c r="BC72" s="12"/>
      <c r="BG72">
        <f t="shared" si="8"/>
        <v>0</v>
      </c>
      <c r="BH72">
        <f t="shared" si="9"/>
        <v>0</v>
      </c>
      <c r="BI72">
        <f t="shared" si="10"/>
        <v>0</v>
      </c>
      <c r="BJ72">
        <f t="shared" si="11"/>
        <v>0</v>
      </c>
      <c r="BK72" t="s">
        <v>145</v>
      </c>
      <c r="BL72">
        <f t="shared" si="12"/>
        <v>0</v>
      </c>
      <c r="BM72" t="s">
        <v>145</v>
      </c>
      <c r="BN72">
        <f t="shared" si="13"/>
        <v>0</v>
      </c>
      <c r="BO72">
        <f t="shared" si="14"/>
        <v>0</v>
      </c>
    </row>
    <row r="73" spans="1:67" ht="15.75">
      <c r="A73" t="s">
        <v>73</v>
      </c>
      <c r="C73" s="12"/>
      <c r="D73" s="19"/>
      <c r="E73" t="s">
        <v>4</v>
      </c>
      <c r="F73" s="20"/>
      <c r="G73" s="20"/>
      <c r="H73" s="20"/>
      <c r="I73" s="19"/>
      <c r="J73" s="19"/>
      <c r="K73" t="s">
        <v>4</v>
      </c>
      <c r="L73" s="20"/>
      <c r="M73" s="20"/>
      <c r="N73" s="20"/>
      <c r="O73" s="19"/>
      <c r="P73" s="19"/>
      <c r="Q73" t="s">
        <v>4</v>
      </c>
      <c r="R73" s="20"/>
      <c r="S73" s="20"/>
      <c r="T73" s="20"/>
      <c r="U73" s="19"/>
      <c r="V73" s="19"/>
      <c r="W73" t="s">
        <v>4</v>
      </c>
      <c r="X73" s="12"/>
      <c r="Y73" s="20"/>
      <c r="Z73" s="20"/>
      <c r="AA73" s="20"/>
      <c r="AB73" s="12"/>
      <c r="AC73" s="12"/>
      <c r="AD73" s="19"/>
      <c r="AE73" s="19"/>
      <c r="AF73" t="s">
        <v>4</v>
      </c>
      <c r="AG73" s="20"/>
      <c r="AH73" s="20"/>
      <c r="AI73" s="20"/>
      <c r="AJ73" s="19"/>
      <c r="AK73" s="19"/>
      <c r="AL73" t="s">
        <v>4</v>
      </c>
      <c r="AM73" s="20"/>
      <c r="AN73" s="20"/>
      <c r="AO73" s="20"/>
      <c r="AP73" s="19"/>
      <c r="AQ73" s="19"/>
      <c r="AR73" t="s">
        <v>4</v>
      </c>
      <c r="AS73" s="20"/>
      <c r="AT73" s="20"/>
      <c r="AU73" s="20"/>
      <c r="AV73" s="19"/>
      <c r="AW73" s="19"/>
      <c r="AX73" t="s">
        <v>4</v>
      </c>
      <c r="AY73" s="20"/>
      <c r="AZ73" s="20"/>
      <c r="BA73" s="20"/>
      <c r="BB73" s="19"/>
      <c r="BC73" s="12"/>
      <c r="BG73">
        <f t="shared" si="8"/>
        <v>0</v>
      </c>
      <c r="BH73">
        <f t="shared" si="9"/>
        <v>0</v>
      </c>
      <c r="BI73">
        <f t="shared" si="10"/>
        <v>0</v>
      </c>
      <c r="BJ73">
        <f t="shared" si="11"/>
        <v>0</v>
      </c>
      <c r="BK73" t="s">
        <v>145</v>
      </c>
      <c r="BL73">
        <f t="shared" si="12"/>
        <v>0</v>
      </c>
      <c r="BM73" t="s">
        <v>145</v>
      </c>
      <c r="BN73">
        <f t="shared" si="13"/>
        <v>0</v>
      </c>
      <c r="BO73">
        <f t="shared" si="14"/>
        <v>0</v>
      </c>
    </row>
    <row r="74" spans="1:67" ht="15.75">
      <c r="A74" t="s">
        <v>74</v>
      </c>
      <c r="C74" s="12"/>
      <c r="D74" s="20"/>
      <c r="E74" s="19"/>
      <c r="F74" t="s">
        <v>4</v>
      </c>
      <c r="G74" s="20"/>
      <c r="H74" s="20"/>
      <c r="I74" s="20"/>
      <c r="J74" s="19"/>
      <c r="K74" s="19"/>
      <c r="L74" t="s">
        <v>4</v>
      </c>
      <c r="M74" s="20"/>
      <c r="N74" s="20"/>
      <c r="O74" s="20"/>
      <c r="P74" s="19"/>
      <c r="Q74" s="19"/>
      <c r="R74" t="s">
        <v>4</v>
      </c>
      <c r="S74" s="20"/>
      <c r="T74" s="20"/>
      <c r="U74" s="20"/>
      <c r="V74" s="19"/>
      <c r="W74" s="19"/>
      <c r="X74" s="12"/>
      <c r="Y74" t="s">
        <v>4</v>
      </c>
      <c r="Z74" s="20"/>
      <c r="AA74" s="20"/>
      <c r="AB74" s="12"/>
      <c r="AC74" s="12"/>
      <c r="AD74" s="20"/>
      <c r="AE74" s="19"/>
      <c r="AF74" s="19"/>
      <c r="AG74" t="s">
        <v>4</v>
      </c>
      <c r="AH74" s="20"/>
      <c r="AI74" s="20"/>
      <c r="AJ74" s="20"/>
      <c r="AK74" s="19"/>
      <c r="AL74" s="19"/>
      <c r="AM74" t="s">
        <v>4</v>
      </c>
      <c r="AN74" s="20"/>
      <c r="AO74" s="20"/>
      <c r="AP74" s="20"/>
      <c r="AQ74" s="19"/>
      <c r="AR74" s="19"/>
      <c r="AS74" t="s">
        <v>4</v>
      </c>
      <c r="AT74" s="20"/>
      <c r="AU74" s="20"/>
      <c r="AV74" s="20"/>
      <c r="AW74" s="19"/>
      <c r="AX74" s="19"/>
      <c r="AY74" t="s">
        <v>4</v>
      </c>
      <c r="AZ74" s="20"/>
      <c r="BA74" s="20"/>
      <c r="BB74" s="20"/>
      <c r="BC74" s="12"/>
      <c r="BG74">
        <f t="shared" si="8"/>
        <v>0</v>
      </c>
      <c r="BH74">
        <f t="shared" si="9"/>
        <v>0</v>
      </c>
      <c r="BI74">
        <f t="shared" si="10"/>
        <v>0</v>
      </c>
      <c r="BJ74">
        <f t="shared" si="11"/>
        <v>0</v>
      </c>
      <c r="BK74" t="s">
        <v>145</v>
      </c>
      <c r="BL74">
        <f t="shared" si="12"/>
        <v>0</v>
      </c>
      <c r="BM74" t="s">
        <v>145</v>
      </c>
      <c r="BN74">
        <f t="shared" si="13"/>
        <v>0</v>
      </c>
      <c r="BO74">
        <f t="shared" si="14"/>
        <v>0</v>
      </c>
    </row>
    <row r="75" spans="1:67" ht="15.75">
      <c r="A75" t="s">
        <v>75</v>
      </c>
      <c r="C75" s="12"/>
      <c r="D75" s="20"/>
      <c r="E75" s="20"/>
      <c r="F75" s="20"/>
      <c r="G75" t="s">
        <v>4</v>
      </c>
      <c r="H75" s="20"/>
      <c r="I75" s="20"/>
      <c r="J75" s="20"/>
      <c r="K75" s="19"/>
      <c r="L75" s="19"/>
      <c r="M75" t="s">
        <v>4</v>
      </c>
      <c r="N75" s="20"/>
      <c r="O75" s="20"/>
      <c r="P75" s="20"/>
      <c r="Q75" s="19"/>
      <c r="R75" s="19"/>
      <c r="S75" t="s">
        <v>4</v>
      </c>
      <c r="T75" s="20"/>
      <c r="U75" s="20"/>
      <c r="V75" s="20"/>
      <c r="W75" s="19"/>
      <c r="X75" s="12"/>
      <c r="Y75" s="19"/>
      <c r="Z75" t="s">
        <v>4</v>
      </c>
      <c r="AA75" s="20"/>
      <c r="AB75" s="12"/>
      <c r="AC75" s="12"/>
      <c r="AD75" s="20"/>
      <c r="AE75" s="20"/>
      <c r="AF75" s="19"/>
      <c r="AG75" s="19"/>
      <c r="AH75" t="s">
        <v>4</v>
      </c>
      <c r="AI75" s="20"/>
      <c r="AJ75" s="20"/>
      <c r="AK75" s="20"/>
      <c r="AL75" s="19"/>
      <c r="AM75" s="19"/>
      <c r="AN75" t="s">
        <v>4</v>
      </c>
      <c r="AO75" s="20"/>
      <c r="AP75" s="20"/>
      <c r="AQ75" s="20"/>
      <c r="AR75" s="19"/>
      <c r="AS75" s="19"/>
      <c r="AT75" t="s">
        <v>4</v>
      </c>
      <c r="AU75" s="20"/>
      <c r="AV75" s="20"/>
      <c r="AW75" s="20"/>
      <c r="AX75" s="19"/>
      <c r="AY75" s="19"/>
      <c r="AZ75" t="s">
        <v>4</v>
      </c>
      <c r="BA75" s="20"/>
      <c r="BB75" s="20"/>
      <c r="BC75" s="12"/>
      <c r="BG75">
        <f t="shared" si="8"/>
        <v>0</v>
      </c>
      <c r="BH75">
        <f t="shared" si="9"/>
        <v>0</v>
      </c>
      <c r="BI75">
        <f t="shared" si="10"/>
        <v>0</v>
      </c>
      <c r="BJ75">
        <f t="shared" si="11"/>
        <v>0</v>
      </c>
      <c r="BK75" t="s">
        <v>145</v>
      </c>
      <c r="BL75">
        <f t="shared" si="12"/>
        <v>0</v>
      </c>
      <c r="BM75" t="s">
        <v>145</v>
      </c>
      <c r="BN75">
        <f t="shared" si="13"/>
        <v>0</v>
      </c>
      <c r="BO75">
        <f t="shared" si="14"/>
        <v>0</v>
      </c>
    </row>
    <row r="76" spans="1:67" ht="15.75">
      <c r="A76" t="s">
        <v>76</v>
      </c>
      <c r="C76" s="12"/>
      <c r="D76" s="20"/>
      <c r="E76" s="20"/>
      <c r="F76" s="19"/>
      <c r="G76" s="19"/>
      <c r="H76" t="s">
        <v>4</v>
      </c>
      <c r="I76" s="20"/>
      <c r="J76" s="20"/>
      <c r="K76" s="20"/>
      <c r="L76" s="19"/>
      <c r="M76" s="19"/>
      <c r="N76" t="s">
        <v>4</v>
      </c>
      <c r="O76" s="20"/>
      <c r="P76" s="20"/>
      <c r="Q76" s="20"/>
      <c r="R76" s="19"/>
      <c r="S76" s="19"/>
      <c r="T76" t="s">
        <v>4</v>
      </c>
      <c r="U76" s="20"/>
      <c r="V76" s="20"/>
      <c r="W76" s="20"/>
      <c r="X76" s="12"/>
      <c r="Y76" s="19"/>
      <c r="Z76" s="19"/>
      <c r="AA76" t="s">
        <v>4</v>
      </c>
      <c r="AB76" s="12"/>
      <c r="AC76" s="12"/>
      <c r="AD76" s="20"/>
      <c r="AE76" s="20"/>
      <c r="AF76" s="20"/>
      <c r="AG76" s="19"/>
      <c r="AH76" s="19"/>
      <c r="AI76" t="s">
        <v>4</v>
      </c>
      <c r="AJ76" s="20"/>
      <c r="AK76" s="20"/>
      <c r="AL76" s="20"/>
      <c r="AM76" s="19"/>
      <c r="AN76" s="19"/>
      <c r="AO76" t="s">
        <v>4</v>
      </c>
      <c r="AP76" s="20"/>
      <c r="AQ76" s="20"/>
      <c r="AR76" s="20"/>
      <c r="AS76" s="19"/>
      <c r="AT76" s="19"/>
      <c r="AU76" t="s">
        <v>4</v>
      </c>
      <c r="AV76" s="20"/>
      <c r="AW76" s="20"/>
      <c r="AX76" s="20"/>
      <c r="AY76" s="19"/>
      <c r="AZ76" s="19"/>
      <c r="BA76" t="s">
        <v>4</v>
      </c>
      <c r="BB76" s="20"/>
      <c r="BC76" s="12"/>
      <c r="BG76">
        <f t="shared" si="8"/>
        <v>0</v>
      </c>
      <c r="BH76">
        <f t="shared" si="9"/>
        <v>0</v>
      </c>
      <c r="BI76">
        <f t="shared" si="10"/>
        <v>0</v>
      </c>
      <c r="BJ76">
        <f t="shared" si="11"/>
        <v>0</v>
      </c>
      <c r="BK76" t="s">
        <v>145</v>
      </c>
      <c r="BL76">
        <f t="shared" si="12"/>
        <v>0</v>
      </c>
      <c r="BM76" t="s">
        <v>145</v>
      </c>
      <c r="BN76">
        <f t="shared" si="13"/>
        <v>0</v>
      </c>
      <c r="BO76">
        <f t="shared" si="14"/>
        <v>0</v>
      </c>
    </row>
    <row r="77" spans="1:67" ht="15.75">
      <c r="A77" t="s">
        <v>77</v>
      </c>
      <c r="C77" s="12"/>
      <c r="D77" s="20"/>
      <c r="E77" s="20"/>
      <c r="F77" s="20"/>
      <c r="G77" s="19"/>
      <c r="H77" s="19"/>
      <c r="I77" t="s">
        <v>4</v>
      </c>
      <c r="J77" s="20"/>
      <c r="K77" s="20"/>
      <c r="L77" s="20"/>
      <c r="M77" s="19"/>
      <c r="N77" s="19"/>
      <c r="O77" t="s">
        <v>4</v>
      </c>
      <c r="P77" s="20"/>
      <c r="Q77" s="20"/>
      <c r="R77" s="20"/>
      <c r="S77" s="19"/>
      <c r="T77" s="19"/>
      <c r="U77" t="s">
        <v>4</v>
      </c>
      <c r="V77" s="20"/>
      <c r="W77" s="20"/>
      <c r="X77" s="12"/>
      <c r="Y77" s="20"/>
      <c r="Z77" s="19"/>
      <c r="AA77" s="19"/>
      <c r="AB77" s="12"/>
      <c r="AC77" s="12"/>
      <c r="AD77" t="s">
        <v>4</v>
      </c>
      <c r="AE77" s="20"/>
      <c r="AF77" s="20"/>
      <c r="AG77" s="20"/>
      <c r="AH77" s="19"/>
      <c r="AI77" s="19"/>
      <c r="AJ77" t="s">
        <v>4</v>
      </c>
      <c r="AK77" s="20"/>
      <c r="AL77" s="20"/>
      <c r="AM77" s="20"/>
      <c r="AN77" s="19"/>
      <c r="AO77" s="19"/>
      <c r="AP77" t="s">
        <v>4</v>
      </c>
      <c r="AQ77" s="20"/>
      <c r="AR77" s="20"/>
      <c r="AS77" s="20"/>
      <c r="AT77" s="19"/>
      <c r="AU77" s="19"/>
      <c r="AV77" t="s">
        <v>4</v>
      </c>
      <c r="AW77" s="20"/>
      <c r="AX77" s="20"/>
      <c r="AY77" s="20"/>
      <c r="AZ77" s="19"/>
      <c r="BA77" s="19"/>
      <c r="BB77" t="s">
        <v>4</v>
      </c>
      <c r="BC77" s="12"/>
      <c r="BG77">
        <f t="shared" si="8"/>
        <v>0</v>
      </c>
      <c r="BH77">
        <f t="shared" si="9"/>
        <v>0</v>
      </c>
      <c r="BI77">
        <f t="shared" si="10"/>
        <v>0</v>
      </c>
      <c r="BJ77">
        <f t="shared" si="11"/>
        <v>0</v>
      </c>
      <c r="BK77" t="s">
        <v>145</v>
      </c>
      <c r="BL77">
        <f t="shared" si="12"/>
        <v>0</v>
      </c>
      <c r="BM77" t="s">
        <v>145</v>
      </c>
      <c r="BN77">
        <f t="shared" si="13"/>
        <v>0</v>
      </c>
      <c r="BO77">
        <f t="shared" si="14"/>
        <v>0</v>
      </c>
    </row>
    <row r="78" spans="1:67" ht="15.75">
      <c r="A78" t="s">
        <v>78</v>
      </c>
      <c r="C78" s="12"/>
      <c r="D78" t="s">
        <v>4</v>
      </c>
      <c r="E78" s="20"/>
      <c r="F78" s="20"/>
      <c r="G78" s="20"/>
      <c r="H78" s="19"/>
      <c r="I78" s="19"/>
      <c r="J78" t="s">
        <v>4</v>
      </c>
      <c r="K78" s="20"/>
      <c r="L78" s="20"/>
      <c r="M78" s="20"/>
      <c r="N78" s="19"/>
      <c r="O78" s="19"/>
      <c r="P78" t="s">
        <v>4</v>
      </c>
      <c r="Q78" s="20"/>
      <c r="R78" s="20"/>
      <c r="S78" s="20"/>
      <c r="T78" s="19"/>
      <c r="U78" s="19"/>
      <c r="V78" t="s">
        <v>4</v>
      </c>
      <c r="W78" s="20"/>
      <c r="X78" s="12"/>
      <c r="Y78" s="20"/>
      <c r="Z78" s="20"/>
      <c r="AA78" s="19"/>
      <c r="AB78" s="12"/>
      <c r="AC78" s="12"/>
      <c r="AD78" s="19"/>
      <c r="AE78" t="s">
        <v>4</v>
      </c>
      <c r="AF78" s="20"/>
      <c r="AG78" s="20"/>
      <c r="AH78" s="20"/>
      <c r="AI78" s="19"/>
      <c r="AJ78" s="19"/>
      <c r="AK78" t="s">
        <v>4</v>
      </c>
      <c r="AL78" s="20"/>
      <c r="AM78" s="20"/>
      <c r="AN78" s="20"/>
      <c r="AO78" s="19"/>
      <c r="AP78" s="19"/>
      <c r="AQ78" t="s">
        <v>4</v>
      </c>
      <c r="AR78" s="20"/>
      <c r="AS78" s="20"/>
      <c r="AT78" s="20"/>
      <c r="AU78" s="19"/>
      <c r="AV78" s="19"/>
      <c r="AW78" t="s">
        <v>4</v>
      </c>
      <c r="AX78" s="20"/>
      <c r="AY78" s="20"/>
      <c r="AZ78" s="20"/>
      <c r="BA78" s="19"/>
      <c r="BB78" s="19"/>
      <c r="BC78" s="12"/>
      <c r="BG78">
        <f t="shared" si="8"/>
        <v>0</v>
      </c>
      <c r="BH78">
        <f t="shared" si="9"/>
        <v>0</v>
      </c>
      <c r="BI78">
        <f t="shared" si="10"/>
        <v>0</v>
      </c>
      <c r="BJ78">
        <f t="shared" si="11"/>
        <v>0</v>
      </c>
      <c r="BK78" t="s">
        <v>145</v>
      </c>
      <c r="BL78">
        <f t="shared" si="12"/>
        <v>0</v>
      </c>
      <c r="BM78" t="s">
        <v>145</v>
      </c>
      <c r="BN78">
        <f t="shared" si="13"/>
        <v>0</v>
      </c>
      <c r="BO78">
        <f t="shared" si="14"/>
        <v>0</v>
      </c>
    </row>
    <row r="79" spans="1:67" ht="15.75">
      <c r="A79" t="s">
        <v>79</v>
      </c>
      <c r="C79" s="12"/>
      <c r="D79" s="19"/>
      <c r="E79" t="s">
        <v>4</v>
      </c>
      <c r="F79" s="20"/>
      <c r="G79" s="20"/>
      <c r="H79" s="20"/>
      <c r="I79" s="19"/>
      <c r="J79" s="19"/>
      <c r="K79" t="s">
        <v>4</v>
      </c>
      <c r="L79" s="20"/>
      <c r="M79" s="20"/>
      <c r="N79" s="20"/>
      <c r="O79" s="19"/>
      <c r="P79" s="19"/>
      <c r="Q79" t="s">
        <v>4</v>
      </c>
      <c r="R79" s="20"/>
      <c r="S79" s="20"/>
      <c r="T79" s="20"/>
      <c r="U79" s="19"/>
      <c r="V79" s="19"/>
      <c r="W79" t="s">
        <v>4</v>
      </c>
      <c r="X79" s="12"/>
      <c r="Y79" s="20"/>
      <c r="Z79" s="20"/>
      <c r="AA79" s="20"/>
      <c r="AB79" s="12"/>
      <c r="AC79" s="12"/>
      <c r="AD79" s="19"/>
      <c r="AE79" s="19"/>
      <c r="AF79" t="s">
        <v>4</v>
      </c>
      <c r="AG79" s="20"/>
      <c r="AH79" s="20"/>
      <c r="AI79" s="20"/>
      <c r="AJ79" s="19"/>
      <c r="AK79" s="19"/>
      <c r="AL79" t="s">
        <v>4</v>
      </c>
      <c r="AM79" s="20"/>
      <c r="AN79" s="20"/>
      <c r="AO79" s="20"/>
      <c r="AP79" s="19"/>
      <c r="AQ79" s="19"/>
      <c r="AR79" t="s">
        <v>4</v>
      </c>
      <c r="AS79" s="20"/>
      <c r="AT79" s="20"/>
      <c r="AU79" s="20"/>
      <c r="AV79" s="19"/>
      <c r="AW79" s="19"/>
      <c r="AX79" t="s">
        <v>4</v>
      </c>
      <c r="AY79" s="20"/>
      <c r="AZ79" s="20"/>
      <c r="BA79" s="20"/>
      <c r="BB79" s="19"/>
      <c r="BC79" s="12"/>
      <c r="BG79">
        <f t="shared" si="8"/>
        <v>0</v>
      </c>
      <c r="BH79">
        <f t="shared" si="9"/>
        <v>0</v>
      </c>
      <c r="BI79">
        <f t="shared" si="10"/>
        <v>0</v>
      </c>
      <c r="BJ79">
        <f t="shared" si="11"/>
        <v>0</v>
      </c>
      <c r="BK79" t="s">
        <v>145</v>
      </c>
      <c r="BL79">
        <f t="shared" si="12"/>
        <v>0</v>
      </c>
      <c r="BM79" t="s">
        <v>145</v>
      </c>
      <c r="BN79">
        <f t="shared" si="13"/>
        <v>0</v>
      </c>
      <c r="BO79">
        <f t="shared" si="14"/>
        <v>0</v>
      </c>
    </row>
    <row r="80" spans="1:67" ht="15.75">
      <c r="A80" t="s">
        <v>80</v>
      </c>
      <c r="C80" s="12"/>
      <c r="D80" s="20"/>
      <c r="E80" s="19"/>
      <c r="F80" t="s">
        <v>4</v>
      </c>
      <c r="G80" s="20"/>
      <c r="H80" s="20"/>
      <c r="I80" s="20"/>
      <c r="J80" s="19"/>
      <c r="K80" s="19"/>
      <c r="L80" t="s">
        <v>4</v>
      </c>
      <c r="M80" s="20"/>
      <c r="N80" s="20"/>
      <c r="O80" s="20"/>
      <c r="P80" s="19"/>
      <c r="Q80" s="19"/>
      <c r="R80" t="s">
        <v>4</v>
      </c>
      <c r="S80" s="20"/>
      <c r="T80" s="20"/>
      <c r="U80" s="20"/>
      <c r="V80" s="19"/>
      <c r="W80" s="19"/>
      <c r="X80" s="12"/>
      <c r="Y80" t="s">
        <v>4</v>
      </c>
      <c r="Z80" s="20"/>
      <c r="AA80" s="20"/>
      <c r="AB80" s="12"/>
      <c r="AC80" s="12"/>
      <c r="AD80" s="20"/>
      <c r="AE80" s="19"/>
      <c r="AF80" s="19"/>
      <c r="AG80" t="s">
        <v>4</v>
      </c>
      <c r="AH80" s="20"/>
      <c r="AI80" s="20"/>
      <c r="AJ80" s="20"/>
      <c r="AK80" s="19"/>
      <c r="AL80" s="19"/>
      <c r="AM80" t="s">
        <v>4</v>
      </c>
      <c r="AN80" s="20"/>
      <c r="AO80" s="20"/>
      <c r="AP80" s="20"/>
      <c r="AQ80" s="19"/>
      <c r="AR80" s="19"/>
      <c r="AS80" t="s">
        <v>4</v>
      </c>
      <c r="AT80" s="20"/>
      <c r="AU80" s="20"/>
      <c r="AV80" s="20"/>
      <c r="AW80" s="19"/>
      <c r="AX80" s="19"/>
      <c r="AY80" t="s">
        <v>4</v>
      </c>
      <c r="AZ80" s="20"/>
      <c r="BA80" s="20"/>
      <c r="BB80" s="20"/>
      <c r="BC80" s="12"/>
      <c r="BG80">
        <f t="shared" si="8"/>
        <v>0</v>
      </c>
      <c r="BH80">
        <f t="shared" si="9"/>
        <v>0</v>
      </c>
      <c r="BI80">
        <f t="shared" si="10"/>
        <v>0</v>
      </c>
      <c r="BJ80">
        <f t="shared" si="11"/>
        <v>0</v>
      </c>
      <c r="BK80" t="s">
        <v>145</v>
      </c>
      <c r="BL80">
        <f t="shared" si="12"/>
        <v>0</v>
      </c>
      <c r="BM80" t="s">
        <v>145</v>
      </c>
      <c r="BN80">
        <f t="shared" si="13"/>
        <v>0</v>
      </c>
      <c r="BO80">
        <f t="shared" si="14"/>
        <v>0</v>
      </c>
    </row>
    <row r="81" spans="1:67" ht="15.75">
      <c r="A81" t="s">
        <v>81</v>
      </c>
      <c r="C81" s="12"/>
      <c r="D81" s="20"/>
      <c r="E81" s="20"/>
      <c r="F81" s="20"/>
      <c r="G81" t="s">
        <v>4</v>
      </c>
      <c r="H81" s="20"/>
      <c r="I81" s="20"/>
      <c r="J81" s="20"/>
      <c r="K81" s="19"/>
      <c r="L81" s="19"/>
      <c r="M81" t="s">
        <v>4</v>
      </c>
      <c r="N81" s="20"/>
      <c r="O81" s="20"/>
      <c r="P81" s="20"/>
      <c r="Q81" s="19"/>
      <c r="R81" s="19"/>
      <c r="S81" t="s">
        <v>4</v>
      </c>
      <c r="T81" s="20"/>
      <c r="U81" s="20"/>
      <c r="V81" s="20"/>
      <c r="W81" s="19"/>
      <c r="X81" s="12"/>
      <c r="Y81" s="19"/>
      <c r="Z81" t="s">
        <v>4</v>
      </c>
      <c r="AA81" s="20"/>
      <c r="AB81" s="12"/>
      <c r="AC81" s="12"/>
      <c r="AD81" s="20"/>
      <c r="AE81" s="20"/>
      <c r="AF81" s="19"/>
      <c r="AG81" s="19"/>
      <c r="AH81" t="s">
        <v>4</v>
      </c>
      <c r="AI81" s="20"/>
      <c r="AJ81" s="20"/>
      <c r="AK81" s="20"/>
      <c r="AL81" s="19"/>
      <c r="AM81" s="19"/>
      <c r="AN81" t="s">
        <v>4</v>
      </c>
      <c r="AO81" s="20"/>
      <c r="AP81" s="20"/>
      <c r="AQ81" s="20"/>
      <c r="AR81" s="19"/>
      <c r="AS81" s="19"/>
      <c r="AT81" t="s">
        <v>4</v>
      </c>
      <c r="AU81" s="20"/>
      <c r="AV81" s="20"/>
      <c r="AW81" s="20"/>
      <c r="AX81" s="19"/>
      <c r="AY81" s="19"/>
      <c r="AZ81" t="s">
        <v>4</v>
      </c>
      <c r="BA81" s="20"/>
      <c r="BB81" s="20"/>
      <c r="BC81" s="12"/>
      <c r="BG81">
        <f t="shared" si="8"/>
        <v>0</v>
      </c>
      <c r="BH81">
        <f t="shared" si="9"/>
        <v>0</v>
      </c>
      <c r="BI81">
        <f t="shared" si="10"/>
        <v>0</v>
      </c>
      <c r="BJ81">
        <f t="shared" si="11"/>
        <v>0</v>
      </c>
      <c r="BK81" t="s">
        <v>145</v>
      </c>
      <c r="BL81">
        <f t="shared" si="12"/>
        <v>0</v>
      </c>
      <c r="BM81" t="s">
        <v>145</v>
      </c>
      <c r="BN81">
        <f t="shared" si="13"/>
        <v>0</v>
      </c>
      <c r="BO81">
        <f t="shared" si="14"/>
        <v>0</v>
      </c>
    </row>
    <row r="82" spans="1:67" ht="15.75">
      <c r="A82" t="s">
        <v>82</v>
      </c>
      <c r="C82" s="12"/>
      <c r="D82" s="20"/>
      <c r="E82" s="20"/>
      <c r="F82" s="19"/>
      <c r="G82" s="19"/>
      <c r="H82" t="s">
        <v>4</v>
      </c>
      <c r="I82" s="20"/>
      <c r="J82" s="20"/>
      <c r="K82" s="20"/>
      <c r="L82" s="19"/>
      <c r="M82" s="19"/>
      <c r="N82" t="s">
        <v>4</v>
      </c>
      <c r="O82" s="20"/>
      <c r="P82" s="20"/>
      <c r="Q82" s="20"/>
      <c r="R82" s="19"/>
      <c r="S82" s="19"/>
      <c r="T82" t="s">
        <v>4</v>
      </c>
      <c r="U82" s="20"/>
      <c r="V82" s="20"/>
      <c r="W82" s="20"/>
      <c r="X82" s="12"/>
      <c r="Y82" s="19"/>
      <c r="Z82" s="19"/>
      <c r="AA82" t="s">
        <v>4</v>
      </c>
      <c r="AB82" s="12"/>
      <c r="AC82" s="12"/>
      <c r="AD82" s="20"/>
      <c r="AE82" s="20"/>
      <c r="AF82" s="20"/>
      <c r="AG82" s="19"/>
      <c r="AH82" s="19"/>
      <c r="AI82" t="s">
        <v>4</v>
      </c>
      <c r="AJ82" s="20"/>
      <c r="AK82" s="20"/>
      <c r="AL82" s="20"/>
      <c r="AM82" s="19"/>
      <c r="AN82" s="19"/>
      <c r="AO82" t="s">
        <v>4</v>
      </c>
      <c r="AP82" s="20"/>
      <c r="AQ82" s="20"/>
      <c r="AR82" s="20"/>
      <c r="AS82" s="19"/>
      <c r="AT82" s="19"/>
      <c r="AU82" t="s">
        <v>4</v>
      </c>
      <c r="AV82" s="20"/>
      <c r="AW82" s="20"/>
      <c r="AX82" s="20"/>
      <c r="AY82" s="19"/>
      <c r="AZ82" s="19"/>
      <c r="BA82" t="s">
        <v>4</v>
      </c>
      <c r="BB82" s="20"/>
      <c r="BC82" s="12"/>
      <c r="BG82">
        <f t="shared" si="8"/>
        <v>0</v>
      </c>
      <c r="BH82">
        <f t="shared" si="9"/>
        <v>0</v>
      </c>
      <c r="BI82">
        <f t="shared" si="10"/>
        <v>0</v>
      </c>
      <c r="BJ82">
        <f t="shared" si="11"/>
        <v>0</v>
      </c>
      <c r="BK82" t="s">
        <v>145</v>
      </c>
      <c r="BL82">
        <f t="shared" si="12"/>
        <v>0</v>
      </c>
      <c r="BM82" t="s">
        <v>145</v>
      </c>
      <c r="BN82">
        <f t="shared" si="13"/>
        <v>0</v>
      </c>
      <c r="BO82">
        <f t="shared" si="14"/>
        <v>0</v>
      </c>
    </row>
    <row r="83" spans="1:67" ht="15.75">
      <c r="A83" t="s">
        <v>83</v>
      </c>
      <c r="C83" s="12"/>
      <c r="D83" s="20"/>
      <c r="E83" s="20"/>
      <c r="F83" s="20"/>
      <c r="G83" s="19"/>
      <c r="H83" s="19"/>
      <c r="I83" t="s">
        <v>4</v>
      </c>
      <c r="J83" s="20"/>
      <c r="K83" s="20"/>
      <c r="L83" s="20"/>
      <c r="M83" s="19"/>
      <c r="N83" s="19"/>
      <c r="O83" t="s">
        <v>4</v>
      </c>
      <c r="P83" s="20"/>
      <c r="Q83" s="20"/>
      <c r="R83" s="20"/>
      <c r="S83" s="19"/>
      <c r="T83" s="19"/>
      <c r="U83" t="s">
        <v>4</v>
      </c>
      <c r="V83" s="20"/>
      <c r="W83" s="20"/>
      <c r="X83" s="12"/>
      <c r="Y83" s="20"/>
      <c r="Z83" s="19"/>
      <c r="AA83" s="19"/>
      <c r="AB83" s="12"/>
      <c r="AC83" s="12"/>
      <c r="AD83" t="s">
        <v>4</v>
      </c>
      <c r="AE83" s="20"/>
      <c r="AF83" s="20"/>
      <c r="AG83" s="20"/>
      <c r="AH83" s="19"/>
      <c r="AI83" s="19"/>
      <c r="AJ83" t="s">
        <v>4</v>
      </c>
      <c r="AK83" s="20"/>
      <c r="AL83" s="20"/>
      <c r="AM83" s="20"/>
      <c r="AN83" s="19"/>
      <c r="AO83" s="19"/>
      <c r="AP83" t="s">
        <v>4</v>
      </c>
      <c r="AQ83" s="20"/>
      <c r="AR83" s="20"/>
      <c r="AS83" s="20"/>
      <c r="AT83" s="19"/>
      <c r="AU83" s="19"/>
      <c r="AV83" t="s">
        <v>4</v>
      </c>
      <c r="AW83" s="20"/>
      <c r="AX83" s="20"/>
      <c r="AY83" s="20"/>
      <c r="AZ83" s="19"/>
      <c r="BA83" s="19"/>
      <c r="BB83" t="s">
        <v>4</v>
      </c>
      <c r="BC83" s="12"/>
      <c r="BG83">
        <f t="shared" si="8"/>
        <v>0</v>
      </c>
      <c r="BH83">
        <f t="shared" si="9"/>
        <v>0</v>
      </c>
      <c r="BI83">
        <f t="shared" si="10"/>
        <v>0</v>
      </c>
      <c r="BJ83">
        <f t="shared" si="11"/>
        <v>0</v>
      </c>
      <c r="BK83" t="s">
        <v>145</v>
      </c>
      <c r="BL83">
        <f t="shared" si="12"/>
        <v>0</v>
      </c>
      <c r="BM83" t="s">
        <v>145</v>
      </c>
      <c r="BN83">
        <f t="shared" si="13"/>
        <v>0</v>
      </c>
      <c r="BO83">
        <f t="shared" si="14"/>
        <v>0</v>
      </c>
    </row>
    <row r="84" spans="1:67" ht="15.75">
      <c r="A84" t="s">
        <v>84</v>
      </c>
      <c r="C84" s="12"/>
      <c r="D84" t="s">
        <v>4</v>
      </c>
      <c r="E84" s="20"/>
      <c r="F84" s="20"/>
      <c r="G84" s="20"/>
      <c r="H84" s="19"/>
      <c r="I84" s="19"/>
      <c r="J84" t="s">
        <v>4</v>
      </c>
      <c r="K84" s="20"/>
      <c r="L84" s="20"/>
      <c r="M84" s="20"/>
      <c r="N84" s="19"/>
      <c r="O84" s="19"/>
      <c r="P84" t="s">
        <v>4</v>
      </c>
      <c r="Q84" s="20"/>
      <c r="R84" s="20"/>
      <c r="S84" s="20"/>
      <c r="T84" s="19"/>
      <c r="U84" s="19"/>
      <c r="V84" t="s">
        <v>4</v>
      </c>
      <c r="W84" s="20"/>
      <c r="X84" s="12"/>
      <c r="Y84" s="20"/>
      <c r="Z84" s="20"/>
      <c r="AA84" s="19"/>
      <c r="AB84" s="12"/>
      <c r="AC84" s="12"/>
      <c r="AD84" s="19"/>
      <c r="AE84" t="s">
        <v>4</v>
      </c>
      <c r="AF84" s="20"/>
      <c r="AG84" s="20"/>
      <c r="AH84" s="20"/>
      <c r="AI84" s="19"/>
      <c r="AJ84" s="19"/>
      <c r="AK84" t="s">
        <v>4</v>
      </c>
      <c r="AL84" s="20"/>
      <c r="AM84" s="20"/>
      <c r="AN84" s="20"/>
      <c r="AO84" s="19"/>
      <c r="AP84" s="19"/>
      <c r="AQ84" t="s">
        <v>4</v>
      </c>
      <c r="AR84" s="20"/>
      <c r="AS84" s="20"/>
      <c r="AT84" s="20"/>
      <c r="AU84" s="19"/>
      <c r="AV84" s="19"/>
      <c r="AW84" t="s">
        <v>4</v>
      </c>
      <c r="AX84" s="20"/>
      <c r="AY84" s="20"/>
      <c r="AZ84" s="20"/>
      <c r="BA84" s="19"/>
      <c r="BB84" s="19"/>
      <c r="BC84" s="12"/>
      <c r="BG84">
        <f t="shared" si="8"/>
        <v>0</v>
      </c>
      <c r="BH84">
        <f t="shared" si="9"/>
        <v>0</v>
      </c>
      <c r="BI84">
        <f t="shared" si="10"/>
        <v>0</v>
      </c>
      <c r="BJ84">
        <f t="shared" si="11"/>
        <v>0</v>
      </c>
      <c r="BK84" t="s">
        <v>145</v>
      </c>
      <c r="BL84">
        <f t="shared" si="12"/>
        <v>0</v>
      </c>
      <c r="BM84" t="s">
        <v>145</v>
      </c>
      <c r="BN84">
        <f t="shared" si="13"/>
        <v>0</v>
      </c>
      <c r="BO84">
        <f t="shared" si="14"/>
        <v>0</v>
      </c>
    </row>
    <row r="85" spans="1:67" ht="15.75">
      <c r="A85" t="s">
        <v>85</v>
      </c>
      <c r="C85" s="12"/>
      <c r="D85" s="19"/>
      <c r="E85" t="s">
        <v>4</v>
      </c>
      <c r="F85" s="20"/>
      <c r="G85" s="20"/>
      <c r="H85" s="20"/>
      <c r="I85" s="19"/>
      <c r="J85" s="19"/>
      <c r="K85" t="s">
        <v>4</v>
      </c>
      <c r="L85" s="20"/>
      <c r="M85" s="20"/>
      <c r="N85" s="20"/>
      <c r="O85" s="19"/>
      <c r="P85" s="19"/>
      <c r="Q85" t="s">
        <v>4</v>
      </c>
      <c r="R85" s="20"/>
      <c r="S85" s="20"/>
      <c r="T85" s="20"/>
      <c r="U85" s="19"/>
      <c r="V85" s="19"/>
      <c r="W85" t="s">
        <v>4</v>
      </c>
      <c r="X85" s="12"/>
      <c r="Y85" s="20"/>
      <c r="Z85" s="20"/>
      <c r="AA85" s="20"/>
      <c r="AB85" s="12"/>
      <c r="AC85" s="12"/>
      <c r="AD85" s="19"/>
      <c r="AE85" s="19"/>
      <c r="AF85" t="s">
        <v>4</v>
      </c>
      <c r="AG85" s="20"/>
      <c r="AH85" s="20"/>
      <c r="AI85" s="20"/>
      <c r="AJ85" s="19"/>
      <c r="AK85" s="19"/>
      <c r="AL85" t="s">
        <v>4</v>
      </c>
      <c r="AM85" s="20"/>
      <c r="AN85" s="20"/>
      <c r="AO85" s="20"/>
      <c r="AP85" s="19"/>
      <c r="AQ85" s="19"/>
      <c r="AR85" t="s">
        <v>4</v>
      </c>
      <c r="AS85" s="20"/>
      <c r="AT85" s="20"/>
      <c r="AU85" s="20"/>
      <c r="AV85" s="19"/>
      <c r="AW85" s="19"/>
      <c r="AX85" t="s">
        <v>4</v>
      </c>
      <c r="AY85" s="20"/>
      <c r="AZ85" s="20"/>
      <c r="BA85" s="20"/>
      <c r="BB85" s="19"/>
      <c r="BC85" s="12"/>
      <c r="BG85">
        <f t="shared" si="8"/>
        <v>0</v>
      </c>
      <c r="BH85">
        <f t="shared" si="9"/>
        <v>0</v>
      </c>
      <c r="BI85">
        <f t="shared" si="10"/>
        <v>0</v>
      </c>
      <c r="BJ85">
        <f t="shared" si="11"/>
        <v>0</v>
      </c>
      <c r="BK85" t="s">
        <v>145</v>
      </c>
      <c r="BL85">
        <f t="shared" si="12"/>
        <v>0</v>
      </c>
      <c r="BM85" t="s">
        <v>145</v>
      </c>
      <c r="BN85">
        <f t="shared" si="13"/>
        <v>0</v>
      </c>
      <c r="BO85">
        <f t="shared" si="14"/>
        <v>0</v>
      </c>
    </row>
    <row r="86" spans="1:67" ht="15.75">
      <c r="A86" t="s">
        <v>86</v>
      </c>
      <c r="C86" s="12"/>
      <c r="D86" s="20"/>
      <c r="E86" s="20"/>
      <c r="F86" s="20"/>
      <c r="G86" s="19"/>
      <c r="H86" s="19"/>
      <c r="I86" t="s">
        <v>4</v>
      </c>
      <c r="J86" s="20"/>
      <c r="K86" s="20"/>
      <c r="L86" s="20"/>
      <c r="M86" s="19"/>
      <c r="N86" s="19"/>
      <c r="O86" t="s">
        <v>4</v>
      </c>
      <c r="P86" s="20"/>
      <c r="Q86" s="20"/>
      <c r="R86" s="20"/>
      <c r="S86" s="19"/>
      <c r="T86" s="19"/>
      <c r="U86" t="s">
        <v>4</v>
      </c>
      <c r="V86" s="20"/>
      <c r="W86" s="20"/>
      <c r="X86" s="12"/>
      <c r="Y86" s="20"/>
      <c r="Z86" s="19"/>
      <c r="AA86" s="19"/>
      <c r="AB86" s="12"/>
      <c r="AC86" s="12"/>
      <c r="AD86" t="s">
        <v>4</v>
      </c>
      <c r="AE86" s="20"/>
      <c r="AF86" s="20"/>
      <c r="AG86" s="20"/>
      <c r="AH86" s="19"/>
      <c r="AI86" s="19"/>
      <c r="AJ86" t="s">
        <v>4</v>
      </c>
      <c r="AK86" s="20"/>
      <c r="AL86" s="20"/>
      <c r="AM86" s="20"/>
      <c r="AN86" s="19"/>
      <c r="AO86" s="19"/>
      <c r="AP86" t="s">
        <v>4</v>
      </c>
      <c r="AQ86" s="20"/>
      <c r="AR86" s="20"/>
      <c r="AS86" s="20"/>
      <c r="AT86" s="19"/>
      <c r="AU86" s="19"/>
      <c r="AV86" t="s">
        <v>4</v>
      </c>
      <c r="AW86" s="20"/>
      <c r="AX86" s="20"/>
      <c r="AY86" s="20"/>
      <c r="AZ86" s="19"/>
      <c r="BA86" s="19"/>
      <c r="BB86" t="s">
        <v>4</v>
      </c>
      <c r="BC86" s="12"/>
      <c r="BG86">
        <f t="shared" si="8"/>
        <v>0</v>
      </c>
      <c r="BH86">
        <f t="shared" si="9"/>
        <v>0</v>
      </c>
      <c r="BI86">
        <f t="shared" si="10"/>
        <v>0</v>
      </c>
      <c r="BJ86">
        <f t="shared" si="11"/>
        <v>0</v>
      </c>
      <c r="BK86" t="s">
        <v>145</v>
      </c>
      <c r="BL86">
        <f t="shared" si="12"/>
        <v>0</v>
      </c>
      <c r="BM86" t="s">
        <v>145</v>
      </c>
      <c r="BN86">
        <f t="shared" si="13"/>
        <v>0</v>
      </c>
      <c r="BO86" t="e">
        <f>COUNTIF(#REF!, "Swing")</f>
        <v>#REF!</v>
      </c>
    </row>
    <row r="87" spans="1:67" ht="15.75">
      <c r="A87" t="s">
        <v>87</v>
      </c>
      <c r="C87" s="12"/>
      <c r="D87" t="s">
        <v>4</v>
      </c>
      <c r="E87" s="20"/>
      <c r="F87" s="20"/>
      <c r="G87" s="20"/>
      <c r="H87" s="19"/>
      <c r="I87" s="19"/>
      <c r="J87" t="s">
        <v>4</v>
      </c>
      <c r="K87" s="20"/>
      <c r="L87" s="20"/>
      <c r="M87" s="20"/>
      <c r="N87" s="19"/>
      <c r="O87" s="19"/>
      <c r="P87" t="s">
        <v>4</v>
      </c>
      <c r="Q87" s="20"/>
      <c r="R87" s="20"/>
      <c r="S87" s="20"/>
      <c r="T87" s="19"/>
      <c r="U87" s="19"/>
      <c r="V87" t="s">
        <v>4</v>
      </c>
      <c r="W87" s="20"/>
      <c r="X87" s="12"/>
      <c r="Y87" s="20"/>
      <c r="Z87" s="20"/>
      <c r="AA87" s="19"/>
      <c r="AB87" s="12"/>
      <c r="AC87" s="12"/>
      <c r="AD87" s="19"/>
      <c r="AE87" t="s">
        <v>4</v>
      </c>
      <c r="AF87" s="20"/>
      <c r="AG87" s="20"/>
      <c r="AH87" s="20"/>
      <c r="AI87" s="19"/>
      <c r="AJ87" s="19"/>
      <c r="AK87" t="s">
        <v>4</v>
      </c>
      <c r="AL87" s="20"/>
      <c r="AM87" s="20"/>
      <c r="AN87" s="20"/>
      <c r="AO87" s="19"/>
      <c r="AP87" s="19"/>
      <c r="AQ87" t="s">
        <v>4</v>
      </c>
      <c r="AR87" s="20"/>
      <c r="AS87" s="20"/>
      <c r="AT87" s="20"/>
      <c r="AU87" s="19"/>
      <c r="AV87" s="19"/>
      <c r="AW87" t="s">
        <v>4</v>
      </c>
      <c r="AX87" s="20"/>
      <c r="AY87" s="20"/>
      <c r="AZ87" s="20"/>
      <c r="BA87" s="19"/>
      <c r="BB87" s="19"/>
      <c r="BC87" s="12"/>
      <c r="BG87">
        <f t="shared" si="8"/>
        <v>0</v>
      </c>
      <c r="BH87">
        <f t="shared" si="9"/>
        <v>0</v>
      </c>
      <c r="BI87">
        <f t="shared" si="10"/>
        <v>0</v>
      </c>
      <c r="BJ87">
        <f t="shared" si="11"/>
        <v>0</v>
      </c>
      <c r="BK87" t="s">
        <v>145</v>
      </c>
      <c r="BL87">
        <f t="shared" si="12"/>
        <v>0</v>
      </c>
      <c r="BM87" t="s">
        <v>145</v>
      </c>
      <c r="BN87">
        <f t="shared" si="13"/>
        <v>0</v>
      </c>
      <c r="BO87">
        <f t="shared" si="14"/>
        <v>0</v>
      </c>
    </row>
    <row r="88" spans="1:67" ht="15.75">
      <c r="A88" t="s">
        <v>88</v>
      </c>
      <c r="C88" s="12"/>
      <c r="D88" s="19"/>
      <c r="E88" t="s">
        <v>4</v>
      </c>
      <c r="F88" s="20"/>
      <c r="G88" s="20"/>
      <c r="H88" s="20"/>
      <c r="I88" s="19"/>
      <c r="J88" s="19"/>
      <c r="K88" t="s">
        <v>4</v>
      </c>
      <c r="L88" s="20"/>
      <c r="M88" s="20"/>
      <c r="N88" s="20"/>
      <c r="O88" s="19"/>
      <c r="P88" s="19"/>
      <c r="Q88" t="s">
        <v>4</v>
      </c>
      <c r="R88" s="20"/>
      <c r="S88" s="20"/>
      <c r="T88" s="20"/>
      <c r="U88" s="19"/>
      <c r="V88" s="19"/>
      <c r="W88" t="s">
        <v>4</v>
      </c>
      <c r="X88" s="12"/>
      <c r="Y88" s="20"/>
      <c r="Z88" s="20"/>
      <c r="AA88" s="20"/>
      <c r="AB88" s="12"/>
      <c r="AC88" s="12"/>
      <c r="AD88" s="19"/>
      <c r="AE88" s="19"/>
      <c r="AF88" t="s">
        <v>4</v>
      </c>
      <c r="AG88" s="20"/>
      <c r="AH88" s="20"/>
      <c r="AI88" s="20"/>
      <c r="AJ88" s="19"/>
      <c r="AK88" s="19"/>
      <c r="AL88" t="s">
        <v>4</v>
      </c>
      <c r="AM88" s="20"/>
      <c r="AN88" s="20"/>
      <c r="AO88" s="20"/>
      <c r="AP88" s="19"/>
      <c r="AQ88" s="19"/>
      <c r="AR88" t="s">
        <v>4</v>
      </c>
      <c r="AS88" s="20"/>
      <c r="AT88" s="20"/>
      <c r="AU88" s="20"/>
      <c r="AV88" s="19"/>
      <c r="AW88" s="19"/>
      <c r="AX88" t="s">
        <v>4</v>
      </c>
      <c r="AY88" s="20"/>
      <c r="AZ88" s="20"/>
      <c r="BA88" s="20"/>
      <c r="BB88" s="19"/>
      <c r="BC88" s="12"/>
      <c r="BG88">
        <f t="shared" si="8"/>
        <v>0</v>
      </c>
      <c r="BH88">
        <f t="shared" si="9"/>
        <v>0</v>
      </c>
      <c r="BI88">
        <f t="shared" si="10"/>
        <v>0</v>
      </c>
      <c r="BJ88">
        <f t="shared" si="11"/>
        <v>0</v>
      </c>
      <c r="BK88" t="s">
        <v>145</v>
      </c>
      <c r="BL88">
        <f t="shared" si="12"/>
        <v>0</v>
      </c>
      <c r="BM88" t="s">
        <v>145</v>
      </c>
      <c r="BN88">
        <f t="shared" si="13"/>
        <v>0</v>
      </c>
      <c r="BO88">
        <f t="shared" si="14"/>
        <v>0</v>
      </c>
    </row>
    <row r="89" spans="1:67" ht="15.75">
      <c r="A89" t="s">
        <v>89</v>
      </c>
      <c r="C89" s="12"/>
      <c r="D89" s="20"/>
      <c r="E89" s="19"/>
      <c r="F89" t="s">
        <v>4</v>
      </c>
      <c r="G89" s="20"/>
      <c r="H89" s="20"/>
      <c r="I89" s="20"/>
      <c r="J89" s="19"/>
      <c r="K89" s="19"/>
      <c r="L89" t="s">
        <v>4</v>
      </c>
      <c r="M89" s="20"/>
      <c r="N89" s="20"/>
      <c r="O89" s="20"/>
      <c r="P89" s="19"/>
      <c r="Q89" s="19"/>
      <c r="R89" t="s">
        <v>4</v>
      </c>
      <c r="S89" s="20"/>
      <c r="T89" s="20"/>
      <c r="U89" s="20"/>
      <c r="V89" s="19"/>
      <c r="W89" s="19"/>
      <c r="X89" s="12"/>
      <c r="Y89" t="s">
        <v>4</v>
      </c>
      <c r="Z89" s="20"/>
      <c r="AA89" s="20"/>
      <c r="AB89" s="12"/>
      <c r="AC89" s="12"/>
      <c r="AD89" s="20"/>
      <c r="AE89" s="19"/>
      <c r="AF89" s="19"/>
      <c r="AG89" t="s">
        <v>4</v>
      </c>
      <c r="AH89" s="20"/>
      <c r="AI89" s="20"/>
      <c r="AJ89" s="20"/>
      <c r="AK89" s="19"/>
      <c r="AL89" s="19"/>
      <c r="AM89" t="s">
        <v>4</v>
      </c>
      <c r="AN89" s="20"/>
      <c r="AO89" s="20"/>
      <c r="AP89" s="20"/>
      <c r="AQ89" s="19"/>
      <c r="AR89" s="19"/>
      <c r="AS89" t="s">
        <v>4</v>
      </c>
      <c r="AT89" s="20"/>
      <c r="AU89" s="20"/>
      <c r="AV89" s="20"/>
      <c r="AW89" s="19"/>
      <c r="AX89" s="19"/>
      <c r="AY89" t="s">
        <v>4</v>
      </c>
      <c r="AZ89" s="20"/>
      <c r="BA89" s="20"/>
      <c r="BB89" s="20"/>
      <c r="BC89" s="12"/>
      <c r="BG89">
        <f t="shared" si="8"/>
        <v>0</v>
      </c>
      <c r="BH89">
        <f t="shared" si="9"/>
        <v>0</v>
      </c>
      <c r="BI89">
        <f t="shared" si="10"/>
        <v>0</v>
      </c>
      <c r="BJ89">
        <f t="shared" si="11"/>
        <v>0</v>
      </c>
      <c r="BK89" t="s">
        <v>145</v>
      </c>
      <c r="BL89">
        <f t="shared" si="12"/>
        <v>0</v>
      </c>
      <c r="BM89" t="s">
        <v>145</v>
      </c>
      <c r="BN89">
        <f t="shared" si="13"/>
        <v>0</v>
      </c>
      <c r="BO89">
        <f t="shared" si="14"/>
        <v>0</v>
      </c>
    </row>
    <row r="90" spans="1:67" ht="15.75">
      <c r="A90" t="s">
        <v>90</v>
      </c>
      <c r="C90" s="12"/>
      <c r="D90" s="20"/>
      <c r="E90" s="20"/>
      <c r="F90" s="20"/>
      <c r="G90" t="s">
        <v>4</v>
      </c>
      <c r="H90" s="20"/>
      <c r="I90" s="20"/>
      <c r="J90" s="20"/>
      <c r="K90" s="19"/>
      <c r="L90" s="19"/>
      <c r="M90" t="s">
        <v>4</v>
      </c>
      <c r="N90" s="20"/>
      <c r="O90" s="20"/>
      <c r="P90" s="20"/>
      <c r="Q90" s="19"/>
      <c r="R90" s="19"/>
      <c r="S90" t="s">
        <v>4</v>
      </c>
      <c r="T90" s="20"/>
      <c r="U90" s="20"/>
      <c r="V90" s="20"/>
      <c r="W90" s="19"/>
      <c r="X90" s="12"/>
      <c r="Y90" s="19"/>
      <c r="Z90" t="s">
        <v>4</v>
      </c>
      <c r="AA90" s="20"/>
      <c r="AB90" s="12"/>
      <c r="AC90" s="12"/>
      <c r="AD90" s="20"/>
      <c r="AE90" s="20"/>
      <c r="AF90" s="19"/>
      <c r="AG90" s="19"/>
      <c r="AH90" t="s">
        <v>4</v>
      </c>
      <c r="AI90" s="20"/>
      <c r="AJ90" s="20"/>
      <c r="AK90" s="20"/>
      <c r="AL90" s="19"/>
      <c r="AM90" s="19"/>
      <c r="AN90" t="s">
        <v>4</v>
      </c>
      <c r="AO90" s="20"/>
      <c r="AP90" s="20"/>
      <c r="AQ90" s="20"/>
      <c r="AR90" s="19"/>
      <c r="AS90" s="19"/>
      <c r="AT90" t="s">
        <v>4</v>
      </c>
      <c r="AU90" s="20"/>
      <c r="AV90" s="20"/>
      <c r="AW90" s="20"/>
      <c r="AX90" s="19"/>
      <c r="AY90" s="19"/>
      <c r="AZ90" t="s">
        <v>4</v>
      </c>
      <c r="BA90" s="20"/>
      <c r="BB90" s="20"/>
      <c r="BC90" s="12"/>
      <c r="BG90">
        <f t="shared" si="8"/>
        <v>0</v>
      </c>
      <c r="BH90">
        <f t="shared" si="9"/>
        <v>0</v>
      </c>
      <c r="BI90">
        <f t="shared" si="10"/>
        <v>0</v>
      </c>
      <c r="BJ90">
        <f t="shared" si="11"/>
        <v>0</v>
      </c>
      <c r="BK90" t="s">
        <v>145</v>
      </c>
      <c r="BL90">
        <f t="shared" si="12"/>
        <v>0</v>
      </c>
      <c r="BM90" t="s">
        <v>145</v>
      </c>
      <c r="BN90">
        <f t="shared" si="13"/>
        <v>0</v>
      </c>
      <c r="BO90">
        <f t="shared" si="14"/>
        <v>0</v>
      </c>
    </row>
    <row r="91" spans="1:67" ht="15.75">
      <c r="A91" t="s">
        <v>91</v>
      </c>
    </row>
    <row r="92" spans="1:67" ht="15.75">
      <c r="A92" t="s">
        <v>92</v>
      </c>
    </row>
    <row r="93" spans="1:67" ht="15.75">
      <c r="A93" t="s">
        <v>93</v>
      </c>
    </row>
    <row r="94" spans="1:67" ht="15.75">
      <c r="A94" t="s">
        <v>94</v>
      </c>
    </row>
    <row r="95" spans="1:67" ht="15.75">
      <c r="A95" t="s">
        <v>95</v>
      </c>
    </row>
    <row r="96" spans="1:67" ht="15.75">
      <c r="A96" t="s">
        <v>96</v>
      </c>
    </row>
    <row r="97" spans="1:55" ht="15.75">
      <c r="A97" t="s">
        <v>97</v>
      </c>
    </row>
    <row r="98" spans="1:55" ht="15.75">
      <c r="A98" t="s">
        <v>98</v>
      </c>
    </row>
    <row r="99" spans="1:55" ht="15.75">
      <c r="A99" t="s">
        <v>99</v>
      </c>
    </row>
    <row r="100" spans="1:55" ht="15.75">
      <c r="A100" t="s">
        <v>100</v>
      </c>
    </row>
    <row r="101" spans="1:55" ht="15.75">
      <c r="A101" t="s">
        <v>101</v>
      </c>
      <c r="AD101" s="7"/>
      <c r="AE101" s="7"/>
      <c r="AF101" s="7"/>
      <c r="AG101" s="7"/>
    </row>
    <row r="102" spans="1:55" ht="15.75">
      <c r="A102" t="s">
        <v>102</v>
      </c>
      <c r="AP102" s="7"/>
      <c r="AQ102" s="7"/>
      <c r="AR102" s="7"/>
      <c r="AS102" s="7"/>
      <c r="AT102" s="7"/>
    </row>
    <row r="103" spans="1:55" ht="15.75">
      <c r="A103" t="s">
        <v>103</v>
      </c>
      <c r="AU103" s="7"/>
      <c r="AV103" s="7"/>
      <c r="AW103" s="7"/>
      <c r="AX103" s="7"/>
    </row>
    <row r="104" spans="1:55" ht="15.75">
      <c r="A104" t="s">
        <v>146</v>
      </c>
      <c r="AY104" s="7"/>
      <c r="AZ104" s="7"/>
      <c r="BA104" s="7"/>
      <c r="BB104" s="7"/>
      <c r="BC104" s="7"/>
    </row>
    <row r="105" spans="1:55" ht="15.75">
      <c r="A105" t="s">
        <v>104</v>
      </c>
    </row>
    <row r="106" spans="1:55" ht="15.75">
      <c r="A106" t="s">
        <v>105</v>
      </c>
    </row>
    <row r="107" spans="1:55" ht="15.75">
      <c r="A107" t="s">
        <v>106</v>
      </c>
    </row>
    <row r="108" spans="1:55" ht="15.75">
      <c r="A108" t="s">
        <v>107</v>
      </c>
    </row>
    <row r="109" spans="1:55" ht="15.75">
      <c r="A109" t="s">
        <v>108</v>
      </c>
    </row>
    <row r="110" spans="1:55" ht="15.75">
      <c r="A110" t="s">
        <v>109</v>
      </c>
    </row>
    <row r="111" spans="1:55" ht="15.75">
      <c r="A111" t="s">
        <v>110</v>
      </c>
    </row>
    <row r="112" spans="1:55" ht="15.75">
      <c r="A112" t="s">
        <v>111</v>
      </c>
    </row>
    <row r="113" spans="1:57" ht="15.75">
      <c r="A113" t="s">
        <v>112</v>
      </c>
    </row>
    <row r="114" spans="1:57" ht="15.75">
      <c r="A114" t="s">
        <v>113</v>
      </c>
    </row>
    <row r="115" spans="1:57" ht="15.75">
      <c r="A115" t="s">
        <v>114</v>
      </c>
    </row>
    <row r="116" spans="1:57" ht="15.75">
      <c r="A116" t="s">
        <v>115</v>
      </c>
    </row>
    <row r="117" spans="1:57" ht="15.75">
      <c r="A117" t="s">
        <v>116</v>
      </c>
    </row>
    <row r="118" spans="1:57" ht="15.75">
      <c r="A118" t="s">
        <v>117</v>
      </c>
    </row>
    <row r="119" spans="1:57" ht="15.75">
      <c r="A119" t="s">
        <v>118</v>
      </c>
    </row>
    <row r="120" spans="1:57" ht="15.75">
      <c r="A120" t="s">
        <v>119</v>
      </c>
    </row>
    <row r="121" spans="1:57" ht="15.75">
      <c r="A121" t="s">
        <v>120</v>
      </c>
    </row>
    <row r="122" spans="1:57" ht="15.75">
      <c r="A122" t="s">
        <v>121</v>
      </c>
    </row>
    <row r="123" spans="1:57" ht="15.75"/>
    <row r="125" spans="1:57" ht="15.75">
      <c r="A125" t="s">
        <v>147</v>
      </c>
    </row>
    <row r="126" spans="1:57" ht="15.75">
      <c r="B126" t="s">
        <v>148</v>
      </c>
      <c r="C126">
        <f t="shared" ref="C126:D126" si="15">COUNTIF(C4:C122, "Clinic")</f>
        <v>0</v>
      </c>
      <c r="D126">
        <f t="shared" si="15"/>
        <v>16</v>
      </c>
      <c r="E126">
        <f t="shared" ref="E126:BB126" si="16">COUNTIF(E4:E122, "Clinic")</f>
        <v>16</v>
      </c>
      <c r="F126">
        <f t="shared" ref="F126:BC126" si="17">COUNTIF(F4:F122, "Clinic")</f>
        <v>14</v>
      </c>
      <c r="G126">
        <f t="shared" si="17"/>
        <v>14</v>
      </c>
      <c r="H126">
        <f t="shared" si="17"/>
        <v>13</v>
      </c>
      <c r="I126">
        <f t="shared" si="17"/>
        <v>14</v>
      </c>
      <c r="J126">
        <f t="shared" si="17"/>
        <v>16</v>
      </c>
      <c r="K126">
        <f t="shared" si="17"/>
        <v>16</v>
      </c>
      <c r="L126">
        <f t="shared" si="17"/>
        <v>14</v>
      </c>
      <c r="M126">
        <f t="shared" si="17"/>
        <v>14</v>
      </c>
      <c r="N126">
        <f t="shared" si="17"/>
        <v>13</v>
      </c>
      <c r="O126">
        <f t="shared" si="17"/>
        <v>14</v>
      </c>
      <c r="P126">
        <f t="shared" si="17"/>
        <v>16</v>
      </c>
      <c r="Q126">
        <f t="shared" si="17"/>
        <v>16</v>
      </c>
      <c r="R126">
        <f t="shared" si="17"/>
        <v>14</v>
      </c>
      <c r="S126">
        <f t="shared" si="17"/>
        <v>14</v>
      </c>
      <c r="T126">
        <f t="shared" si="17"/>
        <v>13</v>
      </c>
      <c r="U126">
        <f t="shared" si="17"/>
        <v>14</v>
      </c>
      <c r="V126">
        <f t="shared" si="17"/>
        <v>16</v>
      </c>
      <c r="W126">
        <f t="shared" si="17"/>
        <v>16</v>
      </c>
      <c r="X126">
        <f t="shared" si="17"/>
        <v>0</v>
      </c>
      <c r="Y126">
        <f t="shared" si="17"/>
        <v>14</v>
      </c>
      <c r="Z126">
        <f t="shared" si="17"/>
        <v>14</v>
      </c>
      <c r="AA126">
        <f t="shared" si="17"/>
        <v>13</v>
      </c>
      <c r="AB126">
        <f t="shared" si="17"/>
        <v>0</v>
      </c>
      <c r="AC126">
        <f t="shared" si="17"/>
        <v>0</v>
      </c>
      <c r="AD126">
        <f t="shared" si="17"/>
        <v>14</v>
      </c>
      <c r="AE126">
        <f t="shared" si="17"/>
        <v>16</v>
      </c>
      <c r="AF126">
        <f t="shared" si="17"/>
        <v>16</v>
      </c>
      <c r="AG126">
        <f t="shared" si="17"/>
        <v>14</v>
      </c>
      <c r="AH126">
        <f t="shared" si="17"/>
        <v>14</v>
      </c>
      <c r="AI126">
        <f t="shared" si="17"/>
        <v>13</v>
      </c>
      <c r="AJ126">
        <f t="shared" si="17"/>
        <v>14</v>
      </c>
      <c r="AK126">
        <f t="shared" si="17"/>
        <v>16</v>
      </c>
      <c r="AL126">
        <f t="shared" si="17"/>
        <v>16</v>
      </c>
      <c r="AM126">
        <f t="shared" si="17"/>
        <v>14</v>
      </c>
      <c r="AN126">
        <f t="shared" si="17"/>
        <v>14</v>
      </c>
      <c r="AO126">
        <f t="shared" si="17"/>
        <v>13</v>
      </c>
      <c r="AP126">
        <f t="shared" si="17"/>
        <v>14</v>
      </c>
      <c r="AQ126">
        <f t="shared" si="17"/>
        <v>16</v>
      </c>
      <c r="AR126">
        <f t="shared" si="17"/>
        <v>16</v>
      </c>
      <c r="AS126">
        <f t="shared" si="17"/>
        <v>14</v>
      </c>
      <c r="AT126">
        <f t="shared" si="17"/>
        <v>14</v>
      </c>
      <c r="AU126">
        <f t="shared" si="17"/>
        <v>13</v>
      </c>
      <c r="AV126">
        <f t="shared" si="17"/>
        <v>14</v>
      </c>
      <c r="AW126">
        <f t="shared" si="17"/>
        <v>16</v>
      </c>
      <c r="AX126">
        <f t="shared" si="17"/>
        <v>16</v>
      </c>
      <c r="AY126">
        <f t="shared" si="17"/>
        <v>14</v>
      </c>
      <c r="AZ126">
        <f t="shared" si="17"/>
        <v>14</v>
      </c>
      <c r="BA126">
        <f t="shared" si="17"/>
        <v>13</v>
      </c>
      <c r="BB126">
        <f t="shared" si="17"/>
        <v>14</v>
      </c>
      <c r="BC126">
        <f t="shared" si="17"/>
        <v>0</v>
      </c>
    </row>
    <row r="127" spans="1:57" ht="15.75">
      <c r="BE127" t="s">
        <v>149</v>
      </c>
    </row>
    <row r="128" spans="1:57" ht="15.75">
      <c r="B128" s="1" t="s">
        <v>150</v>
      </c>
    </row>
    <row r="129" spans="2:57" ht="15.75">
      <c r="B129" s="8" t="s">
        <v>151</v>
      </c>
      <c r="C129">
        <f t="shared" ref="C129:D129" si="18">SUM(C130:C135)</f>
        <v>0</v>
      </c>
      <c r="D129">
        <f t="shared" si="18"/>
        <v>0</v>
      </c>
      <c r="E129">
        <f t="shared" ref="D129:BC130" si="19">SUM(E130:E135)</f>
        <v>0</v>
      </c>
      <c r="F129">
        <f t="shared" ref="F129:BC129" si="20">SUM(F130:F135)</f>
        <v>0</v>
      </c>
      <c r="G129">
        <f t="shared" si="20"/>
        <v>0</v>
      </c>
      <c r="H129">
        <f t="shared" si="20"/>
        <v>0</v>
      </c>
      <c r="I129">
        <f t="shared" si="20"/>
        <v>0</v>
      </c>
      <c r="J129">
        <f t="shared" si="20"/>
        <v>0</v>
      </c>
      <c r="K129">
        <f t="shared" si="20"/>
        <v>0</v>
      </c>
      <c r="L129">
        <f t="shared" si="20"/>
        <v>0</v>
      </c>
      <c r="M129">
        <f t="shared" si="20"/>
        <v>0</v>
      </c>
      <c r="N129">
        <f t="shared" si="20"/>
        <v>0</v>
      </c>
      <c r="O129">
        <f t="shared" si="20"/>
        <v>0</v>
      </c>
      <c r="P129">
        <f t="shared" si="20"/>
        <v>0</v>
      </c>
      <c r="Q129">
        <f t="shared" si="20"/>
        <v>0</v>
      </c>
      <c r="R129">
        <f t="shared" si="20"/>
        <v>0</v>
      </c>
      <c r="S129">
        <f t="shared" si="20"/>
        <v>0</v>
      </c>
      <c r="T129">
        <f t="shared" si="20"/>
        <v>0</v>
      </c>
      <c r="U129">
        <f t="shared" si="20"/>
        <v>0</v>
      </c>
      <c r="V129">
        <f t="shared" si="20"/>
        <v>0</v>
      </c>
      <c r="W129">
        <f t="shared" si="20"/>
        <v>0</v>
      </c>
      <c r="X129">
        <f t="shared" si="20"/>
        <v>0</v>
      </c>
      <c r="Y129">
        <f t="shared" si="20"/>
        <v>0</v>
      </c>
      <c r="Z129">
        <f t="shared" si="20"/>
        <v>0</v>
      </c>
      <c r="AA129">
        <f t="shared" si="20"/>
        <v>0</v>
      </c>
      <c r="AB129">
        <f t="shared" si="20"/>
        <v>0</v>
      </c>
      <c r="AC129">
        <f t="shared" si="20"/>
        <v>0</v>
      </c>
      <c r="AD129">
        <f t="shared" si="20"/>
        <v>0</v>
      </c>
      <c r="AE129">
        <f t="shared" si="20"/>
        <v>0</v>
      </c>
      <c r="AF129">
        <f t="shared" si="20"/>
        <v>0</v>
      </c>
      <c r="AG129">
        <f t="shared" si="20"/>
        <v>0</v>
      </c>
      <c r="AH129">
        <f t="shared" si="20"/>
        <v>0</v>
      </c>
      <c r="AI129">
        <f t="shared" si="20"/>
        <v>0</v>
      </c>
      <c r="AJ129">
        <f t="shared" si="20"/>
        <v>0</v>
      </c>
      <c r="AK129">
        <f t="shared" si="20"/>
        <v>0</v>
      </c>
      <c r="AL129">
        <f t="shared" si="20"/>
        <v>0</v>
      </c>
      <c r="AM129">
        <f t="shared" si="20"/>
        <v>0</v>
      </c>
      <c r="AN129">
        <f t="shared" si="20"/>
        <v>0</v>
      </c>
      <c r="AO129">
        <f t="shared" si="20"/>
        <v>0</v>
      </c>
      <c r="AP129">
        <f t="shared" si="20"/>
        <v>0</v>
      </c>
      <c r="AQ129">
        <f t="shared" si="20"/>
        <v>0</v>
      </c>
      <c r="AR129">
        <f t="shared" si="20"/>
        <v>0</v>
      </c>
      <c r="AS129">
        <f t="shared" si="20"/>
        <v>0</v>
      </c>
      <c r="AT129">
        <f t="shared" si="20"/>
        <v>0</v>
      </c>
      <c r="AU129">
        <f t="shared" si="20"/>
        <v>0</v>
      </c>
      <c r="AV129">
        <f t="shared" si="20"/>
        <v>0</v>
      </c>
      <c r="AW129">
        <f t="shared" si="20"/>
        <v>0</v>
      </c>
      <c r="AX129">
        <f t="shared" si="20"/>
        <v>0</v>
      </c>
      <c r="AY129">
        <f t="shared" si="20"/>
        <v>0</v>
      </c>
      <c r="AZ129">
        <f t="shared" si="20"/>
        <v>0</v>
      </c>
      <c r="BA129">
        <f t="shared" si="20"/>
        <v>0</v>
      </c>
      <c r="BB129">
        <f t="shared" si="20"/>
        <v>0</v>
      </c>
      <c r="BC129">
        <f t="shared" si="20"/>
        <v>0</v>
      </c>
    </row>
    <row r="130" spans="2:57" ht="15.75">
      <c r="B130" t="s">
        <v>152</v>
      </c>
      <c r="C130">
        <f t="shared" ref="C130:D130" si="21">COUNTIF(C4:C59, "rSLUH1")</f>
        <v>0</v>
      </c>
      <c r="D130">
        <f t="shared" si="21"/>
        <v>0</v>
      </c>
      <c r="E130">
        <f t="shared" ref="E130:BC130" si="22">COUNTIF(E4:E59, "rSLUH1")</f>
        <v>0</v>
      </c>
      <c r="F130">
        <f t="shared" ref="F130:BC130" si="23">COUNTIF(F4:F59, "rSLUH1")</f>
        <v>0</v>
      </c>
      <c r="G130">
        <f t="shared" si="23"/>
        <v>0</v>
      </c>
      <c r="H130">
        <f t="shared" si="23"/>
        <v>0</v>
      </c>
      <c r="I130">
        <f t="shared" si="23"/>
        <v>0</v>
      </c>
      <c r="J130">
        <f t="shared" si="23"/>
        <v>0</v>
      </c>
      <c r="K130">
        <f t="shared" si="23"/>
        <v>0</v>
      </c>
      <c r="L130">
        <f t="shared" si="23"/>
        <v>0</v>
      </c>
      <c r="M130">
        <f t="shared" si="23"/>
        <v>0</v>
      </c>
      <c r="N130">
        <f t="shared" si="23"/>
        <v>0</v>
      </c>
      <c r="O130">
        <f t="shared" si="23"/>
        <v>0</v>
      </c>
      <c r="P130">
        <f t="shared" si="23"/>
        <v>0</v>
      </c>
      <c r="Q130">
        <f t="shared" si="23"/>
        <v>0</v>
      </c>
      <c r="R130">
        <f t="shared" si="23"/>
        <v>0</v>
      </c>
      <c r="S130">
        <f t="shared" si="23"/>
        <v>0</v>
      </c>
      <c r="T130">
        <f t="shared" si="23"/>
        <v>0</v>
      </c>
      <c r="U130">
        <f t="shared" si="23"/>
        <v>0</v>
      </c>
      <c r="V130">
        <f t="shared" si="23"/>
        <v>0</v>
      </c>
      <c r="W130">
        <f t="shared" si="23"/>
        <v>0</v>
      </c>
      <c r="X130">
        <f t="shared" si="23"/>
        <v>0</v>
      </c>
      <c r="Y130">
        <f t="shared" si="23"/>
        <v>0</v>
      </c>
      <c r="Z130">
        <f t="shared" si="23"/>
        <v>0</v>
      </c>
      <c r="AA130">
        <f t="shared" si="23"/>
        <v>0</v>
      </c>
      <c r="AB130">
        <f t="shared" si="23"/>
        <v>0</v>
      </c>
      <c r="AC130">
        <f t="shared" si="23"/>
        <v>0</v>
      </c>
      <c r="AD130">
        <f t="shared" si="23"/>
        <v>0</v>
      </c>
      <c r="AE130">
        <f t="shared" si="23"/>
        <v>0</v>
      </c>
      <c r="AF130">
        <f t="shared" si="23"/>
        <v>0</v>
      </c>
      <c r="AG130">
        <f t="shared" si="23"/>
        <v>0</v>
      </c>
      <c r="AH130">
        <f t="shared" si="23"/>
        <v>0</v>
      </c>
      <c r="AI130">
        <f t="shared" si="23"/>
        <v>0</v>
      </c>
      <c r="AJ130">
        <f t="shared" si="23"/>
        <v>0</v>
      </c>
      <c r="AK130">
        <f t="shared" si="23"/>
        <v>0</v>
      </c>
      <c r="AL130">
        <f t="shared" si="23"/>
        <v>0</v>
      </c>
      <c r="AM130">
        <f t="shared" si="23"/>
        <v>0</v>
      </c>
      <c r="AN130">
        <f t="shared" si="23"/>
        <v>0</v>
      </c>
      <c r="AO130">
        <f t="shared" si="23"/>
        <v>0</v>
      </c>
      <c r="AP130">
        <f t="shared" si="23"/>
        <v>0</v>
      </c>
      <c r="AQ130">
        <f t="shared" si="23"/>
        <v>0</v>
      </c>
      <c r="AR130">
        <f t="shared" si="23"/>
        <v>0</v>
      </c>
      <c r="AS130">
        <f t="shared" si="23"/>
        <v>0</v>
      </c>
      <c r="AT130">
        <f t="shared" si="23"/>
        <v>0</v>
      </c>
      <c r="AU130">
        <f t="shared" si="23"/>
        <v>0</v>
      </c>
      <c r="AV130">
        <f t="shared" si="23"/>
        <v>0</v>
      </c>
      <c r="AW130">
        <f t="shared" si="23"/>
        <v>0</v>
      </c>
      <c r="AX130">
        <f t="shared" si="23"/>
        <v>0</v>
      </c>
      <c r="AY130">
        <f t="shared" si="23"/>
        <v>0</v>
      </c>
      <c r="AZ130">
        <f t="shared" si="23"/>
        <v>0</v>
      </c>
      <c r="BA130">
        <f t="shared" si="23"/>
        <v>0</v>
      </c>
      <c r="BB130">
        <f t="shared" si="23"/>
        <v>0</v>
      </c>
      <c r="BC130">
        <f t="shared" si="23"/>
        <v>0</v>
      </c>
      <c r="BE130">
        <f>COUNTIF(C130:BC130, "0")</f>
        <v>53</v>
      </c>
    </row>
    <row r="131" spans="2:57" ht="15.75">
      <c r="B131" t="s">
        <v>153</v>
      </c>
      <c r="C131">
        <f t="shared" ref="C131:D131" si="24">COUNTIF(C4:C59, "rSLUH2")</f>
        <v>0</v>
      </c>
      <c r="D131">
        <f t="shared" si="24"/>
        <v>0</v>
      </c>
      <c r="E131">
        <f t="shared" ref="E131:BC131" si="25">COUNTIF(E4:E59, "rSLUH2")</f>
        <v>0</v>
      </c>
      <c r="F131">
        <f t="shared" ref="F131:BC131" si="26">COUNTIF(F4:F59, "rSLUH2")</f>
        <v>0</v>
      </c>
      <c r="G131">
        <f t="shared" si="26"/>
        <v>0</v>
      </c>
      <c r="H131">
        <f t="shared" si="26"/>
        <v>0</v>
      </c>
      <c r="I131">
        <f t="shared" si="26"/>
        <v>0</v>
      </c>
      <c r="J131">
        <f t="shared" si="26"/>
        <v>0</v>
      </c>
      <c r="K131">
        <f t="shared" si="26"/>
        <v>0</v>
      </c>
      <c r="L131">
        <f t="shared" si="26"/>
        <v>0</v>
      </c>
      <c r="M131">
        <f t="shared" si="26"/>
        <v>0</v>
      </c>
      <c r="N131">
        <f t="shared" si="26"/>
        <v>0</v>
      </c>
      <c r="O131">
        <f t="shared" si="26"/>
        <v>0</v>
      </c>
      <c r="P131">
        <f t="shared" si="26"/>
        <v>0</v>
      </c>
      <c r="Q131">
        <f t="shared" si="26"/>
        <v>0</v>
      </c>
      <c r="R131">
        <f t="shared" si="26"/>
        <v>0</v>
      </c>
      <c r="S131">
        <f t="shared" si="26"/>
        <v>0</v>
      </c>
      <c r="T131">
        <f t="shared" si="26"/>
        <v>0</v>
      </c>
      <c r="U131">
        <f t="shared" si="26"/>
        <v>0</v>
      </c>
      <c r="V131">
        <f t="shared" si="26"/>
        <v>0</v>
      </c>
      <c r="W131">
        <f t="shared" si="26"/>
        <v>0</v>
      </c>
      <c r="X131">
        <f t="shared" si="26"/>
        <v>0</v>
      </c>
      <c r="Y131">
        <f t="shared" si="26"/>
        <v>0</v>
      </c>
      <c r="Z131">
        <f t="shared" si="26"/>
        <v>0</v>
      </c>
      <c r="AA131">
        <f t="shared" si="26"/>
        <v>0</v>
      </c>
      <c r="AB131">
        <f t="shared" si="26"/>
        <v>0</v>
      </c>
      <c r="AC131">
        <f t="shared" si="26"/>
        <v>0</v>
      </c>
      <c r="AD131">
        <f t="shared" si="26"/>
        <v>0</v>
      </c>
      <c r="AE131">
        <f t="shared" si="26"/>
        <v>0</v>
      </c>
      <c r="AF131">
        <f t="shared" si="26"/>
        <v>0</v>
      </c>
      <c r="AG131">
        <f t="shared" si="26"/>
        <v>0</v>
      </c>
      <c r="AH131">
        <f t="shared" si="26"/>
        <v>0</v>
      </c>
      <c r="AI131">
        <f t="shared" si="26"/>
        <v>0</v>
      </c>
      <c r="AJ131">
        <f t="shared" si="26"/>
        <v>0</v>
      </c>
      <c r="AK131">
        <f t="shared" si="26"/>
        <v>0</v>
      </c>
      <c r="AL131">
        <f t="shared" si="26"/>
        <v>0</v>
      </c>
      <c r="AM131">
        <f t="shared" si="26"/>
        <v>0</v>
      </c>
      <c r="AN131">
        <f t="shared" si="26"/>
        <v>0</v>
      </c>
      <c r="AO131">
        <f t="shared" si="26"/>
        <v>0</v>
      </c>
      <c r="AP131">
        <f t="shared" si="26"/>
        <v>0</v>
      </c>
      <c r="AQ131">
        <f t="shared" si="26"/>
        <v>0</v>
      </c>
      <c r="AR131">
        <f t="shared" si="26"/>
        <v>0</v>
      </c>
      <c r="AS131">
        <f t="shared" si="26"/>
        <v>0</v>
      </c>
      <c r="AT131">
        <f t="shared" si="26"/>
        <v>0</v>
      </c>
      <c r="AU131">
        <f t="shared" si="26"/>
        <v>0</v>
      </c>
      <c r="AV131">
        <f t="shared" si="26"/>
        <v>0</v>
      </c>
      <c r="AW131">
        <f t="shared" si="26"/>
        <v>0</v>
      </c>
      <c r="AX131">
        <f t="shared" si="26"/>
        <v>0</v>
      </c>
      <c r="AY131">
        <f t="shared" si="26"/>
        <v>0</v>
      </c>
      <c r="AZ131">
        <f t="shared" si="26"/>
        <v>0</v>
      </c>
      <c r="BA131">
        <f t="shared" si="26"/>
        <v>0</v>
      </c>
      <c r="BB131">
        <f t="shared" si="26"/>
        <v>0</v>
      </c>
      <c r="BC131">
        <f t="shared" si="26"/>
        <v>0</v>
      </c>
      <c r="BE131">
        <f t="shared" ref="BE131:BE135" si="27">COUNTIF(C131:BC131, "0")</f>
        <v>53</v>
      </c>
    </row>
    <row r="132" spans="2:57" ht="15.75">
      <c r="B132" t="s">
        <v>154</v>
      </c>
      <c r="C132">
        <f t="shared" ref="C132:D132" si="28">COUNTIF(C4:C59, "rSLUH3")</f>
        <v>0</v>
      </c>
      <c r="D132">
        <f t="shared" si="28"/>
        <v>0</v>
      </c>
      <c r="E132">
        <f t="shared" ref="E132:BC132" si="29">COUNTIF(E4:E59, "rSLUH3")</f>
        <v>0</v>
      </c>
      <c r="F132">
        <f t="shared" ref="F132:BC132" si="30">COUNTIF(F4:F59, "rSLUH3")</f>
        <v>0</v>
      </c>
      <c r="G132">
        <f t="shared" si="30"/>
        <v>0</v>
      </c>
      <c r="H132">
        <f t="shared" si="30"/>
        <v>0</v>
      </c>
      <c r="I132">
        <f t="shared" si="30"/>
        <v>0</v>
      </c>
      <c r="J132">
        <f t="shared" si="30"/>
        <v>0</v>
      </c>
      <c r="K132">
        <f t="shared" si="30"/>
        <v>0</v>
      </c>
      <c r="L132">
        <f t="shared" si="30"/>
        <v>0</v>
      </c>
      <c r="M132">
        <f t="shared" si="30"/>
        <v>0</v>
      </c>
      <c r="N132">
        <f t="shared" si="30"/>
        <v>0</v>
      </c>
      <c r="O132">
        <f t="shared" si="30"/>
        <v>0</v>
      </c>
      <c r="P132">
        <f t="shared" si="30"/>
        <v>0</v>
      </c>
      <c r="Q132">
        <f t="shared" si="30"/>
        <v>0</v>
      </c>
      <c r="R132">
        <f t="shared" si="30"/>
        <v>0</v>
      </c>
      <c r="S132">
        <f t="shared" si="30"/>
        <v>0</v>
      </c>
      <c r="T132">
        <f t="shared" si="30"/>
        <v>0</v>
      </c>
      <c r="U132">
        <f t="shared" si="30"/>
        <v>0</v>
      </c>
      <c r="V132">
        <f t="shared" si="30"/>
        <v>0</v>
      </c>
      <c r="W132">
        <f t="shared" si="30"/>
        <v>0</v>
      </c>
      <c r="X132">
        <f t="shared" si="30"/>
        <v>0</v>
      </c>
      <c r="Y132">
        <f t="shared" si="30"/>
        <v>0</v>
      </c>
      <c r="Z132">
        <f t="shared" si="30"/>
        <v>0</v>
      </c>
      <c r="AA132">
        <f t="shared" si="30"/>
        <v>0</v>
      </c>
      <c r="AB132">
        <f t="shared" si="30"/>
        <v>0</v>
      </c>
      <c r="AC132">
        <f t="shared" si="30"/>
        <v>0</v>
      </c>
      <c r="AD132">
        <f t="shared" si="30"/>
        <v>0</v>
      </c>
      <c r="AE132">
        <f t="shared" si="30"/>
        <v>0</v>
      </c>
      <c r="AF132">
        <f t="shared" si="30"/>
        <v>0</v>
      </c>
      <c r="AG132">
        <f t="shared" si="30"/>
        <v>0</v>
      </c>
      <c r="AH132">
        <f t="shared" si="30"/>
        <v>0</v>
      </c>
      <c r="AI132">
        <f t="shared" si="30"/>
        <v>0</v>
      </c>
      <c r="AJ132">
        <f t="shared" si="30"/>
        <v>0</v>
      </c>
      <c r="AK132">
        <f t="shared" si="30"/>
        <v>0</v>
      </c>
      <c r="AL132">
        <f t="shared" si="30"/>
        <v>0</v>
      </c>
      <c r="AM132">
        <f t="shared" si="30"/>
        <v>0</v>
      </c>
      <c r="AN132">
        <f t="shared" si="30"/>
        <v>0</v>
      </c>
      <c r="AO132">
        <f t="shared" si="30"/>
        <v>0</v>
      </c>
      <c r="AP132">
        <f t="shared" si="30"/>
        <v>0</v>
      </c>
      <c r="AQ132">
        <f t="shared" si="30"/>
        <v>0</v>
      </c>
      <c r="AR132">
        <f t="shared" si="30"/>
        <v>0</v>
      </c>
      <c r="AS132">
        <f t="shared" si="30"/>
        <v>0</v>
      </c>
      <c r="AT132">
        <f t="shared" si="30"/>
        <v>0</v>
      </c>
      <c r="AU132">
        <f t="shared" si="30"/>
        <v>0</v>
      </c>
      <c r="AV132">
        <f t="shared" si="30"/>
        <v>0</v>
      </c>
      <c r="AW132">
        <f t="shared" si="30"/>
        <v>0</v>
      </c>
      <c r="AX132">
        <f t="shared" si="30"/>
        <v>0</v>
      </c>
      <c r="AY132">
        <f t="shared" si="30"/>
        <v>0</v>
      </c>
      <c r="AZ132">
        <f t="shared" si="30"/>
        <v>0</v>
      </c>
      <c r="BA132">
        <f t="shared" si="30"/>
        <v>0</v>
      </c>
      <c r="BB132">
        <f t="shared" si="30"/>
        <v>0</v>
      </c>
      <c r="BC132">
        <f t="shared" si="30"/>
        <v>0</v>
      </c>
      <c r="BE132">
        <f t="shared" si="27"/>
        <v>53</v>
      </c>
    </row>
    <row r="133" spans="2:57" ht="15.75">
      <c r="B133" t="s">
        <v>155</v>
      </c>
      <c r="C133">
        <f t="shared" ref="C133:D133" si="31">COUNTIF(C4:C59, "rSLUH4")</f>
        <v>0</v>
      </c>
      <c r="D133">
        <f t="shared" si="31"/>
        <v>0</v>
      </c>
      <c r="E133">
        <f t="shared" ref="E133:BC133" si="32">COUNTIF(E4:E59, "rSLUH4")</f>
        <v>0</v>
      </c>
      <c r="F133">
        <f t="shared" ref="F133:BC133" si="33">COUNTIF(F4:F59, "rSLUH4")</f>
        <v>0</v>
      </c>
      <c r="G133">
        <f t="shared" si="33"/>
        <v>0</v>
      </c>
      <c r="H133">
        <f t="shared" si="33"/>
        <v>0</v>
      </c>
      <c r="I133">
        <f t="shared" si="33"/>
        <v>0</v>
      </c>
      <c r="J133">
        <f t="shared" si="33"/>
        <v>0</v>
      </c>
      <c r="K133">
        <f t="shared" si="33"/>
        <v>0</v>
      </c>
      <c r="L133">
        <f t="shared" si="33"/>
        <v>0</v>
      </c>
      <c r="M133">
        <f t="shared" si="33"/>
        <v>0</v>
      </c>
      <c r="N133">
        <f t="shared" si="33"/>
        <v>0</v>
      </c>
      <c r="O133">
        <f t="shared" si="33"/>
        <v>0</v>
      </c>
      <c r="P133">
        <f t="shared" si="33"/>
        <v>0</v>
      </c>
      <c r="Q133">
        <f t="shared" si="33"/>
        <v>0</v>
      </c>
      <c r="R133">
        <f t="shared" si="33"/>
        <v>0</v>
      </c>
      <c r="S133">
        <f t="shared" si="33"/>
        <v>0</v>
      </c>
      <c r="T133">
        <f t="shared" si="33"/>
        <v>0</v>
      </c>
      <c r="U133">
        <f t="shared" si="33"/>
        <v>0</v>
      </c>
      <c r="V133">
        <f t="shared" si="33"/>
        <v>0</v>
      </c>
      <c r="W133">
        <f t="shared" si="33"/>
        <v>0</v>
      </c>
      <c r="X133">
        <f t="shared" si="33"/>
        <v>0</v>
      </c>
      <c r="Y133">
        <f t="shared" si="33"/>
        <v>0</v>
      </c>
      <c r="Z133">
        <f t="shared" si="33"/>
        <v>0</v>
      </c>
      <c r="AA133">
        <f t="shared" si="33"/>
        <v>0</v>
      </c>
      <c r="AB133">
        <f t="shared" si="33"/>
        <v>0</v>
      </c>
      <c r="AC133">
        <f t="shared" si="33"/>
        <v>0</v>
      </c>
      <c r="AD133">
        <f t="shared" si="33"/>
        <v>0</v>
      </c>
      <c r="AE133">
        <f t="shared" si="33"/>
        <v>0</v>
      </c>
      <c r="AF133">
        <f t="shared" si="33"/>
        <v>0</v>
      </c>
      <c r="AG133">
        <f t="shared" si="33"/>
        <v>0</v>
      </c>
      <c r="AH133">
        <f t="shared" si="33"/>
        <v>0</v>
      </c>
      <c r="AI133">
        <f t="shared" si="33"/>
        <v>0</v>
      </c>
      <c r="AJ133">
        <f t="shared" si="33"/>
        <v>0</v>
      </c>
      <c r="AK133">
        <f t="shared" si="33"/>
        <v>0</v>
      </c>
      <c r="AL133">
        <f t="shared" si="33"/>
        <v>0</v>
      </c>
      <c r="AM133">
        <f t="shared" si="33"/>
        <v>0</v>
      </c>
      <c r="AN133">
        <f t="shared" si="33"/>
        <v>0</v>
      </c>
      <c r="AO133">
        <f t="shared" si="33"/>
        <v>0</v>
      </c>
      <c r="AP133">
        <f t="shared" si="33"/>
        <v>0</v>
      </c>
      <c r="AQ133">
        <f t="shared" si="33"/>
        <v>0</v>
      </c>
      <c r="AR133">
        <f t="shared" si="33"/>
        <v>0</v>
      </c>
      <c r="AS133">
        <f t="shared" si="33"/>
        <v>0</v>
      </c>
      <c r="AT133">
        <f t="shared" si="33"/>
        <v>0</v>
      </c>
      <c r="AU133">
        <f t="shared" si="33"/>
        <v>0</v>
      </c>
      <c r="AV133">
        <f t="shared" si="33"/>
        <v>0</v>
      </c>
      <c r="AW133">
        <f t="shared" si="33"/>
        <v>0</v>
      </c>
      <c r="AX133">
        <f t="shared" si="33"/>
        <v>0</v>
      </c>
      <c r="AY133">
        <f t="shared" si="33"/>
        <v>0</v>
      </c>
      <c r="AZ133">
        <f t="shared" si="33"/>
        <v>0</v>
      </c>
      <c r="BA133">
        <f t="shared" si="33"/>
        <v>0</v>
      </c>
      <c r="BB133">
        <f t="shared" si="33"/>
        <v>0</v>
      </c>
      <c r="BC133">
        <f t="shared" si="33"/>
        <v>0</v>
      </c>
      <c r="BE133">
        <f t="shared" si="27"/>
        <v>53</v>
      </c>
    </row>
    <row r="134" spans="2:57" ht="15.75">
      <c r="B134" s="13" t="s">
        <v>156</v>
      </c>
      <c r="C134">
        <f t="shared" ref="C134:D134" si="34">COUNTIF(C4:C59, "rSLUH5")</f>
        <v>0</v>
      </c>
      <c r="D134">
        <f t="shared" si="34"/>
        <v>0</v>
      </c>
      <c r="E134">
        <f t="shared" ref="E134:BC134" si="35">COUNTIF(E4:E59, "rSLUH5")</f>
        <v>0</v>
      </c>
      <c r="F134">
        <f t="shared" ref="F134:BC134" si="36">COUNTIF(F4:F59, "rSLUH5")</f>
        <v>0</v>
      </c>
      <c r="G134">
        <f t="shared" si="36"/>
        <v>0</v>
      </c>
      <c r="H134">
        <f t="shared" si="36"/>
        <v>0</v>
      </c>
      <c r="I134">
        <f t="shared" si="36"/>
        <v>0</v>
      </c>
      <c r="J134">
        <f t="shared" si="36"/>
        <v>0</v>
      </c>
      <c r="K134">
        <f t="shared" si="36"/>
        <v>0</v>
      </c>
      <c r="L134">
        <f t="shared" si="36"/>
        <v>0</v>
      </c>
      <c r="M134">
        <f t="shared" si="36"/>
        <v>0</v>
      </c>
      <c r="N134">
        <f t="shared" si="36"/>
        <v>0</v>
      </c>
      <c r="O134">
        <f t="shared" si="36"/>
        <v>0</v>
      </c>
      <c r="P134">
        <f t="shared" si="36"/>
        <v>0</v>
      </c>
      <c r="Q134">
        <f t="shared" si="36"/>
        <v>0</v>
      </c>
      <c r="R134">
        <f t="shared" si="36"/>
        <v>0</v>
      </c>
      <c r="S134">
        <f t="shared" si="36"/>
        <v>0</v>
      </c>
      <c r="T134">
        <f t="shared" si="36"/>
        <v>0</v>
      </c>
      <c r="U134">
        <f t="shared" si="36"/>
        <v>0</v>
      </c>
      <c r="V134">
        <f t="shared" si="36"/>
        <v>0</v>
      </c>
      <c r="W134">
        <f t="shared" si="36"/>
        <v>0</v>
      </c>
      <c r="X134">
        <f t="shared" si="36"/>
        <v>0</v>
      </c>
      <c r="Y134">
        <f t="shared" si="36"/>
        <v>0</v>
      </c>
      <c r="Z134">
        <f t="shared" si="36"/>
        <v>0</v>
      </c>
      <c r="AA134">
        <f t="shared" si="36"/>
        <v>0</v>
      </c>
      <c r="AB134">
        <f t="shared" si="36"/>
        <v>0</v>
      </c>
      <c r="AC134">
        <f t="shared" si="36"/>
        <v>0</v>
      </c>
      <c r="AD134">
        <f t="shared" si="36"/>
        <v>0</v>
      </c>
      <c r="AE134">
        <f t="shared" si="36"/>
        <v>0</v>
      </c>
      <c r="AF134">
        <f t="shared" si="36"/>
        <v>0</v>
      </c>
      <c r="AG134">
        <f t="shared" si="36"/>
        <v>0</v>
      </c>
      <c r="AH134">
        <f t="shared" si="36"/>
        <v>0</v>
      </c>
      <c r="AI134">
        <f t="shared" si="36"/>
        <v>0</v>
      </c>
      <c r="AJ134">
        <f t="shared" si="36"/>
        <v>0</v>
      </c>
      <c r="AK134">
        <f t="shared" si="36"/>
        <v>0</v>
      </c>
      <c r="AL134">
        <f t="shared" si="36"/>
        <v>0</v>
      </c>
      <c r="AM134">
        <f t="shared" si="36"/>
        <v>0</v>
      </c>
      <c r="AN134">
        <f t="shared" si="36"/>
        <v>0</v>
      </c>
      <c r="AO134">
        <f t="shared" si="36"/>
        <v>0</v>
      </c>
      <c r="AP134">
        <f t="shared" si="36"/>
        <v>0</v>
      </c>
      <c r="AQ134">
        <f t="shared" si="36"/>
        <v>0</v>
      </c>
      <c r="AR134">
        <f t="shared" si="36"/>
        <v>0</v>
      </c>
      <c r="AS134">
        <f t="shared" si="36"/>
        <v>0</v>
      </c>
      <c r="AT134">
        <f t="shared" si="36"/>
        <v>0</v>
      </c>
      <c r="AU134">
        <f t="shared" si="36"/>
        <v>0</v>
      </c>
      <c r="AV134">
        <f t="shared" si="36"/>
        <v>0</v>
      </c>
      <c r="AW134">
        <f t="shared" si="36"/>
        <v>0</v>
      </c>
      <c r="AX134">
        <f t="shared" si="36"/>
        <v>0</v>
      </c>
      <c r="AY134">
        <f t="shared" si="36"/>
        <v>0</v>
      </c>
      <c r="AZ134">
        <f t="shared" si="36"/>
        <v>0</v>
      </c>
      <c r="BA134">
        <f t="shared" si="36"/>
        <v>0</v>
      </c>
      <c r="BB134">
        <f t="shared" si="36"/>
        <v>0</v>
      </c>
      <c r="BC134">
        <f t="shared" si="36"/>
        <v>0</v>
      </c>
      <c r="BE134">
        <f t="shared" si="27"/>
        <v>53</v>
      </c>
    </row>
    <row r="135" spans="2:57" ht="15.75">
      <c r="B135" s="13" t="s">
        <v>157</v>
      </c>
      <c r="C135">
        <f t="shared" ref="C135:D135" si="37">COUNTIF(C4:C59, "rSLUH6")</f>
        <v>0</v>
      </c>
      <c r="D135">
        <f t="shared" si="37"/>
        <v>0</v>
      </c>
      <c r="E135">
        <f t="shared" ref="E135:BC135" si="38">COUNTIF(E4:E59, "rSLUH6")</f>
        <v>0</v>
      </c>
      <c r="F135">
        <f t="shared" ref="F135:BC135" si="39">COUNTIF(F4:F59, "rSLUH6")</f>
        <v>0</v>
      </c>
      <c r="G135">
        <f t="shared" si="39"/>
        <v>0</v>
      </c>
      <c r="H135">
        <f t="shared" si="39"/>
        <v>0</v>
      </c>
      <c r="I135">
        <f t="shared" si="39"/>
        <v>0</v>
      </c>
      <c r="J135">
        <f t="shared" si="39"/>
        <v>0</v>
      </c>
      <c r="K135">
        <f t="shared" si="39"/>
        <v>0</v>
      </c>
      <c r="L135">
        <f t="shared" si="39"/>
        <v>0</v>
      </c>
      <c r="M135">
        <f t="shared" si="39"/>
        <v>0</v>
      </c>
      <c r="N135">
        <f t="shared" si="39"/>
        <v>0</v>
      </c>
      <c r="O135">
        <f t="shared" si="39"/>
        <v>0</v>
      </c>
      <c r="P135">
        <f t="shared" si="39"/>
        <v>0</v>
      </c>
      <c r="Q135">
        <f t="shared" si="39"/>
        <v>0</v>
      </c>
      <c r="R135">
        <f t="shared" si="39"/>
        <v>0</v>
      </c>
      <c r="S135">
        <f t="shared" si="39"/>
        <v>0</v>
      </c>
      <c r="T135">
        <f t="shared" si="39"/>
        <v>0</v>
      </c>
      <c r="U135">
        <f t="shared" si="39"/>
        <v>0</v>
      </c>
      <c r="V135">
        <f t="shared" si="39"/>
        <v>0</v>
      </c>
      <c r="W135">
        <f t="shared" si="39"/>
        <v>0</v>
      </c>
      <c r="X135">
        <f t="shared" si="39"/>
        <v>0</v>
      </c>
      <c r="Y135">
        <f t="shared" si="39"/>
        <v>0</v>
      </c>
      <c r="Z135">
        <f t="shared" si="39"/>
        <v>0</v>
      </c>
      <c r="AA135">
        <f t="shared" si="39"/>
        <v>0</v>
      </c>
      <c r="AB135">
        <f t="shared" si="39"/>
        <v>0</v>
      </c>
      <c r="AC135">
        <f t="shared" si="39"/>
        <v>0</v>
      </c>
      <c r="AD135">
        <f t="shared" si="39"/>
        <v>0</v>
      </c>
      <c r="AE135">
        <f t="shared" si="39"/>
        <v>0</v>
      </c>
      <c r="AF135">
        <f t="shared" si="39"/>
        <v>0</v>
      </c>
      <c r="AG135">
        <f t="shared" si="39"/>
        <v>0</v>
      </c>
      <c r="AH135">
        <f t="shared" si="39"/>
        <v>0</v>
      </c>
      <c r="AI135">
        <f t="shared" si="39"/>
        <v>0</v>
      </c>
      <c r="AJ135">
        <f t="shared" si="39"/>
        <v>0</v>
      </c>
      <c r="AK135">
        <f t="shared" si="39"/>
        <v>0</v>
      </c>
      <c r="AL135">
        <f t="shared" si="39"/>
        <v>0</v>
      </c>
      <c r="AM135">
        <f t="shared" si="39"/>
        <v>0</v>
      </c>
      <c r="AN135">
        <f t="shared" si="39"/>
        <v>0</v>
      </c>
      <c r="AO135">
        <f t="shared" si="39"/>
        <v>0</v>
      </c>
      <c r="AP135">
        <f t="shared" si="39"/>
        <v>0</v>
      </c>
      <c r="AQ135">
        <f t="shared" si="39"/>
        <v>0</v>
      </c>
      <c r="AR135">
        <f t="shared" si="39"/>
        <v>0</v>
      </c>
      <c r="AS135">
        <f t="shared" si="39"/>
        <v>0</v>
      </c>
      <c r="AT135">
        <f t="shared" si="39"/>
        <v>0</v>
      </c>
      <c r="AU135">
        <f t="shared" si="39"/>
        <v>0</v>
      </c>
      <c r="AV135">
        <f t="shared" si="39"/>
        <v>0</v>
      </c>
      <c r="AW135">
        <f t="shared" si="39"/>
        <v>0</v>
      </c>
      <c r="AX135">
        <f t="shared" si="39"/>
        <v>0</v>
      </c>
      <c r="AY135">
        <f t="shared" si="39"/>
        <v>0</v>
      </c>
      <c r="AZ135">
        <f t="shared" si="39"/>
        <v>0</v>
      </c>
      <c r="BA135">
        <f t="shared" si="39"/>
        <v>0</v>
      </c>
      <c r="BB135">
        <f t="shared" si="39"/>
        <v>0</v>
      </c>
      <c r="BC135">
        <f t="shared" si="39"/>
        <v>0</v>
      </c>
      <c r="BE135">
        <f t="shared" si="27"/>
        <v>53</v>
      </c>
    </row>
    <row r="136" spans="2:57" ht="15.75"/>
    <row r="137" spans="2:57" ht="15.75">
      <c r="B137" s="8" t="s">
        <v>158</v>
      </c>
      <c r="C137">
        <f t="shared" ref="C137:D137" si="40">SUM(C138:C142)</f>
        <v>0</v>
      </c>
      <c r="D137">
        <f t="shared" si="40"/>
        <v>0</v>
      </c>
      <c r="E137">
        <f t="shared" ref="D137:BC138" si="41">SUM(E138:E142)</f>
        <v>0</v>
      </c>
      <c r="F137">
        <f t="shared" ref="F137:BC137" si="42">SUM(F138:F142)</f>
        <v>0</v>
      </c>
      <c r="G137">
        <f t="shared" si="42"/>
        <v>0</v>
      </c>
      <c r="H137">
        <f t="shared" si="42"/>
        <v>0</v>
      </c>
      <c r="I137">
        <f t="shared" si="42"/>
        <v>0</v>
      </c>
      <c r="J137">
        <f t="shared" si="42"/>
        <v>0</v>
      </c>
      <c r="K137">
        <f t="shared" si="42"/>
        <v>0</v>
      </c>
      <c r="L137">
        <f t="shared" si="42"/>
        <v>0</v>
      </c>
      <c r="M137">
        <f t="shared" si="42"/>
        <v>0</v>
      </c>
      <c r="N137">
        <f t="shared" si="42"/>
        <v>0</v>
      </c>
      <c r="O137">
        <f t="shared" si="42"/>
        <v>0</v>
      </c>
      <c r="P137">
        <f t="shared" si="42"/>
        <v>0</v>
      </c>
      <c r="Q137">
        <f t="shared" si="42"/>
        <v>0</v>
      </c>
      <c r="R137">
        <f t="shared" si="42"/>
        <v>0</v>
      </c>
      <c r="S137">
        <f t="shared" si="42"/>
        <v>0</v>
      </c>
      <c r="T137">
        <f t="shared" si="42"/>
        <v>0</v>
      </c>
      <c r="U137">
        <f t="shared" si="42"/>
        <v>0</v>
      </c>
      <c r="V137">
        <f t="shared" si="42"/>
        <v>0</v>
      </c>
      <c r="W137">
        <f t="shared" si="42"/>
        <v>0</v>
      </c>
      <c r="X137">
        <f t="shared" si="42"/>
        <v>0</v>
      </c>
      <c r="Y137">
        <f t="shared" si="42"/>
        <v>0</v>
      </c>
      <c r="Z137">
        <f t="shared" si="42"/>
        <v>0</v>
      </c>
      <c r="AA137">
        <f t="shared" si="42"/>
        <v>0</v>
      </c>
      <c r="AB137">
        <f t="shared" si="42"/>
        <v>0</v>
      </c>
      <c r="AC137">
        <f t="shared" si="42"/>
        <v>0</v>
      </c>
      <c r="AD137">
        <f t="shared" si="42"/>
        <v>0</v>
      </c>
      <c r="AE137">
        <f t="shared" si="42"/>
        <v>0</v>
      </c>
      <c r="AF137">
        <f t="shared" si="42"/>
        <v>0</v>
      </c>
      <c r="AG137">
        <f t="shared" si="42"/>
        <v>0</v>
      </c>
      <c r="AH137">
        <f t="shared" si="42"/>
        <v>0</v>
      </c>
      <c r="AI137">
        <f t="shared" si="42"/>
        <v>0</v>
      </c>
      <c r="AJ137">
        <f t="shared" si="42"/>
        <v>0</v>
      </c>
      <c r="AK137">
        <f t="shared" si="42"/>
        <v>0</v>
      </c>
      <c r="AL137">
        <f t="shared" si="42"/>
        <v>0</v>
      </c>
      <c r="AM137">
        <f t="shared" si="42"/>
        <v>0</v>
      </c>
      <c r="AN137">
        <f t="shared" si="42"/>
        <v>0</v>
      </c>
      <c r="AO137">
        <f t="shared" si="42"/>
        <v>0</v>
      </c>
      <c r="AP137">
        <f t="shared" si="42"/>
        <v>0</v>
      </c>
      <c r="AQ137">
        <f t="shared" si="42"/>
        <v>0</v>
      </c>
      <c r="AR137">
        <f t="shared" si="42"/>
        <v>0</v>
      </c>
      <c r="AS137">
        <f t="shared" si="42"/>
        <v>0</v>
      </c>
      <c r="AT137">
        <f t="shared" si="42"/>
        <v>0</v>
      </c>
      <c r="AU137">
        <f t="shared" si="42"/>
        <v>0</v>
      </c>
      <c r="AV137">
        <f t="shared" si="42"/>
        <v>0</v>
      </c>
      <c r="AW137">
        <f t="shared" si="42"/>
        <v>0</v>
      </c>
      <c r="AX137">
        <f t="shared" si="42"/>
        <v>0</v>
      </c>
      <c r="AY137">
        <f t="shared" si="42"/>
        <v>0</v>
      </c>
      <c r="AZ137">
        <f t="shared" si="42"/>
        <v>0</v>
      </c>
      <c r="BA137">
        <f t="shared" si="42"/>
        <v>0</v>
      </c>
      <c r="BB137">
        <f t="shared" si="42"/>
        <v>0</v>
      </c>
      <c r="BC137">
        <f t="shared" si="42"/>
        <v>0</v>
      </c>
    </row>
    <row r="138" spans="2:57" ht="15.75">
      <c r="B138" t="s">
        <v>159</v>
      </c>
      <c r="C138">
        <f t="shared" ref="C138:D138" si="43">COUNTIF(C4:C59, "rVA1")</f>
        <v>0</v>
      </c>
      <c r="D138">
        <f t="shared" si="43"/>
        <v>0</v>
      </c>
      <c r="E138">
        <f t="shared" ref="E138:BC138" si="44">COUNTIF(E4:E59, "rVA1")</f>
        <v>0</v>
      </c>
      <c r="F138">
        <f t="shared" ref="F138:BC138" si="45">COUNTIF(F4:F59, "rVA1")</f>
        <v>0</v>
      </c>
      <c r="G138">
        <f t="shared" si="45"/>
        <v>0</v>
      </c>
      <c r="H138">
        <f t="shared" si="45"/>
        <v>0</v>
      </c>
      <c r="I138">
        <f t="shared" si="45"/>
        <v>0</v>
      </c>
      <c r="J138">
        <f t="shared" si="45"/>
        <v>0</v>
      </c>
      <c r="K138">
        <f t="shared" si="45"/>
        <v>0</v>
      </c>
      <c r="L138">
        <f t="shared" si="45"/>
        <v>0</v>
      </c>
      <c r="M138">
        <f t="shared" si="45"/>
        <v>0</v>
      </c>
      <c r="N138">
        <f t="shared" si="45"/>
        <v>0</v>
      </c>
      <c r="O138">
        <f t="shared" si="45"/>
        <v>0</v>
      </c>
      <c r="P138">
        <f t="shared" si="45"/>
        <v>0</v>
      </c>
      <c r="Q138">
        <f t="shared" si="45"/>
        <v>0</v>
      </c>
      <c r="R138">
        <f t="shared" si="45"/>
        <v>0</v>
      </c>
      <c r="S138">
        <f t="shared" si="45"/>
        <v>0</v>
      </c>
      <c r="T138">
        <f t="shared" si="45"/>
        <v>0</v>
      </c>
      <c r="U138">
        <f t="shared" si="45"/>
        <v>0</v>
      </c>
      <c r="V138">
        <f t="shared" si="45"/>
        <v>0</v>
      </c>
      <c r="W138">
        <f t="shared" si="45"/>
        <v>0</v>
      </c>
      <c r="X138">
        <f t="shared" si="45"/>
        <v>0</v>
      </c>
      <c r="Y138">
        <f t="shared" si="45"/>
        <v>0</v>
      </c>
      <c r="Z138">
        <f t="shared" si="45"/>
        <v>0</v>
      </c>
      <c r="AA138">
        <f t="shared" si="45"/>
        <v>0</v>
      </c>
      <c r="AB138">
        <f t="shared" si="45"/>
        <v>0</v>
      </c>
      <c r="AC138">
        <f t="shared" si="45"/>
        <v>0</v>
      </c>
      <c r="AD138">
        <f t="shared" si="45"/>
        <v>0</v>
      </c>
      <c r="AE138">
        <f t="shared" si="45"/>
        <v>0</v>
      </c>
      <c r="AF138">
        <f t="shared" si="45"/>
        <v>0</v>
      </c>
      <c r="AG138">
        <f t="shared" si="45"/>
        <v>0</v>
      </c>
      <c r="AH138">
        <f t="shared" si="45"/>
        <v>0</v>
      </c>
      <c r="AI138">
        <f t="shared" si="45"/>
        <v>0</v>
      </c>
      <c r="AJ138">
        <f t="shared" si="45"/>
        <v>0</v>
      </c>
      <c r="AK138">
        <f t="shared" si="45"/>
        <v>0</v>
      </c>
      <c r="AL138">
        <f t="shared" si="45"/>
        <v>0</v>
      </c>
      <c r="AM138">
        <f t="shared" si="45"/>
        <v>0</v>
      </c>
      <c r="AN138">
        <f t="shared" si="45"/>
        <v>0</v>
      </c>
      <c r="AO138">
        <f t="shared" si="45"/>
        <v>0</v>
      </c>
      <c r="AP138">
        <f t="shared" si="45"/>
        <v>0</v>
      </c>
      <c r="AQ138">
        <f t="shared" si="45"/>
        <v>0</v>
      </c>
      <c r="AR138">
        <f t="shared" si="45"/>
        <v>0</v>
      </c>
      <c r="AS138">
        <f t="shared" si="45"/>
        <v>0</v>
      </c>
      <c r="AT138">
        <f t="shared" si="45"/>
        <v>0</v>
      </c>
      <c r="AU138">
        <f t="shared" si="45"/>
        <v>0</v>
      </c>
      <c r="AV138">
        <f t="shared" si="45"/>
        <v>0</v>
      </c>
      <c r="AW138">
        <f t="shared" si="45"/>
        <v>0</v>
      </c>
      <c r="AX138">
        <f t="shared" si="45"/>
        <v>0</v>
      </c>
      <c r="AY138">
        <f t="shared" si="45"/>
        <v>0</v>
      </c>
      <c r="AZ138">
        <f t="shared" si="45"/>
        <v>0</v>
      </c>
      <c r="BA138">
        <f t="shared" si="45"/>
        <v>0</v>
      </c>
      <c r="BB138">
        <f t="shared" si="45"/>
        <v>0</v>
      </c>
      <c r="BC138">
        <f t="shared" si="45"/>
        <v>0</v>
      </c>
      <c r="BE138">
        <f t="shared" ref="BE138:BE142" si="46">COUNTIF(C138:BC138, "0")</f>
        <v>53</v>
      </c>
    </row>
    <row r="139" spans="2:57" ht="15.75">
      <c r="B139" t="s">
        <v>160</v>
      </c>
      <c r="C139">
        <f t="shared" ref="C139:D139" si="47">COUNTIF(C4:C59, "rVA2")</f>
        <v>0</v>
      </c>
      <c r="D139">
        <f t="shared" si="47"/>
        <v>0</v>
      </c>
      <c r="E139">
        <f t="shared" ref="E139:BC139" si="48">COUNTIF(E4:E59, "rVA2")</f>
        <v>0</v>
      </c>
      <c r="F139">
        <f t="shared" ref="F139:BC139" si="49">COUNTIF(F4:F59, "rVA2")</f>
        <v>0</v>
      </c>
      <c r="G139">
        <f t="shared" si="49"/>
        <v>0</v>
      </c>
      <c r="H139">
        <f t="shared" si="49"/>
        <v>0</v>
      </c>
      <c r="I139">
        <f t="shared" si="49"/>
        <v>0</v>
      </c>
      <c r="J139">
        <f t="shared" si="49"/>
        <v>0</v>
      </c>
      <c r="K139">
        <f t="shared" si="49"/>
        <v>0</v>
      </c>
      <c r="L139">
        <f t="shared" si="49"/>
        <v>0</v>
      </c>
      <c r="M139">
        <f t="shared" si="49"/>
        <v>0</v>
      </c>
      <c r="N139">
        <f t="shared" si="49"/>
        <v>0</v>
      </c>
      <c r="O139">
        <f t="shared" si="49"/>
        <v>0</v>
      </c>
      <c r="P139">
        <f t="shared" si="49"/>
        <v>0</v>
      </c>
      <c r="Q139">
        <f t="shared" si="49"/>
        <v>0</v>
      </c>
      <c r="R139">
        <f t="shared" si="49"/>
        <v>0</v>
      </c>
      <c r="S139">
        <f t="shared" si="49"/>
        <v>0</v>
      </c>
      <c r="T139">
        <f t="shared" si="49"/>
        <v>0</v>
      </c>
      <c r="U139">
        <f t="shared" si="49"/>
        <v>0</v>
      </c>
      <c r="V139">
        <f t="shared" si="49"/>
        <v>0</v>
      </c>
      <c r="W139">
        <f t="shared" si="49"/>
        <v>0</v>
      </c>
      <c r="X139">
        <f t="shared" si="49"/>
        <v>0</v>
      </c>
      <c r="Y139">
        <f t="shared" si="49"/>
        <v>0</v>
      </c>
      <c r="Z139">
        <f t="shared" si="49"/>
        <v>0</v>
      </c>
      <c r="AA139">
        <f t="shared" si="49"/>
        <v>0</v>
      </c>
      <c r="AB139">
        <f t="shared" si="49"/>
        <v>0</v>
      </c>
      <c r="AC139">
        <f t="shared" si="49"/>
        <v>0</v>
      </c>
      <c r="AD139">
        <f t="shared" si="49"/>
        <v>0</v>
      </c>
      <c r="AE139">
        <f t="shared" si="49"/>
        <v>0</v>
      </c>
      <c r="AF139">
        <f t="shared" si="49"/>
        <v>0</v>
      </c>
      <c r="AG139">
        <f t="shared" si="49"/>
        <v>0</v>
      </c>
      <c r="AH139">
        <f t="shared" si="49"/>
        <v>0</v>
      </c>
      <c r="AI139">
        <f t="shared" si="49"/>
        <v>0</v>
      </c>
      <c r="AJ139">
        <f t="shared" si="49"/>
        <v>0</v>
      </c>
      <c r="AK139">
        <f t="shared" si="49"/>
        <v>0</v>
      </c>
      <c r="AL139">
        <f t="shared" si="49"/>
        <v>0</v>
      </c>
      <c r="AM139">
        <f t="shared" si="49"/>
        <v>0</v>
      </c>
      <c r="AN139">
        <f t="shared" si="49"/>
        <v>0</v>
      </c>
      <c r="AO139">
        <f t="shared" si="49"/>
        <v>0</v>
      </c>
      <c r="AP139">
        <f t="shared" si="49"/>
        <v>0</v>
      </c>
      <c r="AQ139">
        <f t="shared" si="49"/>
        <v>0</v>
      </c>
      <c r="AR139">
        <f t="shared" si="49"/>
        <v>0</v>
      </c>
      <c r="AS139">
        <f t="shared" si="49"/>
        <v>0</v>
      </c>
      <c r="AT139">
        <f t="shared" si="49"/>
        <v>0</v>
      </c>
      <c r="AU139">
        <f t="shared" si="49"/>
        <v>0</v>
      </c>
      <c r="AV139">
        <f t="shared" si="49"/>
        <v>0</v>
      </c>
      <c r="AW139">
        <f t="shared" si="49"/>
        <v>0</v>
      </c>
      <c r="AX139">
        <f t="shared" si="49"/>
        <v>0</v>
      </c>
      <c r="AY139">
        <f t="shared" si="49"/>
        <v>0</v>
      </c>
      <c r="AZ139">
        <f t="shared" si="49"/>
        <v>0</v>
      </c>
      <c r="BA139">
        <f t="shared" si="49"/>
        <v>0</v>
      </c>
      <c r="BB139">
        <f t="shared" si="49"/>
        <v>0</v>
      </c>
      <c r="BC139">
        <f t="shared" si="49"/>
        <v>0</v>
      </c>
      <c r="BE139">
        <f t="shared" si="46"/>
        <v>53</v>
      </c>
    </row>
    <row r="140" spans="2:57" ht="15.75">
      <c r="B140" t="s">
        <v>161</v>
      </c>
      <c r="C140">
        <f t="shared" ref="C140:D140" si="50">COUNTIF(C4:C59, "rVA3")</f>
        <v>0</v>
      </c>
      <c r="D140">
        <f t="shared" si="50"/>
        <v>0</v>
      </c>
      <c r="E140">
        <f t="shared" ref="E140:BC140" si="51">COUNTIF(E4:E59, "rVA3")</f>
        <v>0</v>
      </c>
      <c r="F140">
        <f t="shared" ref="F140:BC140" si="52">COUNTIF(F4:F59, "rVA3")</f>
        <v>0</v>
      </c>
      <c r="G140">
        <f t="shared" si="52"/>
        <v>0</v>
      </c>
      <c r="H140">
        <f t="shared" si="52"/>
        <v>0</v>
      </c>
      <c r="I140">
        <f t="shared" si="52"/>
        <v>0</v>
      </c>
      <c r="J140">
        <f t="shared" si="52"/>
        <v>0</v>
      </c>
      <c r="K140">
        <f t="shared" si="52"/>
        <v>0</v>
      </c>
      <c r="L140">
        <f t="shared" si="52"/>
        <v>0</v>
      </c>
      <c r="M140">
        <f t="shared" si="52"/>
        <v>0</v>
      </c>
      <c r="N140">
        <f t="shared" si="52"/>
        <v>0</v>
      </c>
      <c r="O140">
        <f t="shared" si="52"/>
        <v>0</v>
      </c>
      <c r="P140">
        <f t="shared" si="52"/>
        <v>0</v>
      </c>
      <c r="Q140">
        <f t="shared" si="52"/>
        <v>0</v>
      </c>
      <c r="R140">
        <f t="shared" si="52"/>
        <v>0</v>
      </c>
      <c r="S140">
        <f t="shared" si="52"/>
        <v>0</v>
      </c>
      <c r="T140">
        <f t="shared" si="52"/>
        <v>0</v>
      </c>
      <c r="U140">
        <f t="shared" si="52"/>
        <v>0</v>
      </c>
      <c r="V140">
        <f t="shared" si="52"/>
        <v>0</v>
      </c>
      <c r="W140">
        <f t="shared" si="52"/>
        <v>0</v>
      </c>
      <c r="X140">
        <f t="shared" si="52"/>
        <v>0</v>
      </c>
      <c r="Y140">
        <f t="shared" si="52"/>
        <v>0</v>
      </c>
      <c r="Z140">
        <f t="shared" si="52"/>
        <v>0</v>
      </c>
      <c r="AA140">
        <f t="shared" si="52"/>
        <v>0</v>
      </c>
      <c r="AB140">
        <f t="shared" si="52"/>
        <v>0</v>
      </c>
      <c r="AC140">
        <f t="shared" si="52"/>
        <v>0</v>
      </c>
      <c r="AD140">
        <f t="shared" si="52"/>
        <v>0</v>
      </c>
      <c r="AE140">
        <f t="shared" si="52"/>
        <v>0</v>
      </c>
      <c r="AF140">
        <f t="shared" si="52"/>
        <v>0</v>
      </c>
      <c r="AG140">
        <f t="shared" si="52"/>
        <v>0</v>
      </c>
      <c r="AH140">
        <f t="shared" si="52"/>
        <v>0</v>
      </c>
      <c r="AI140">
        <f t="shared" si="52"/>
        <v>0</v>
      </c>
      <c r="AJ140">
        <f t="shared" si="52"/>
        <v>0</v>
      </c>
      <c r="AK140">
        <f t="shared" si="52"/>
        <v>0</v>
      </c>
      <c r="AL140">
        <f t="shared" si="52"/>
        <v>0</v>
      </c>
      <c r="AM140">
        <f t="shared" si="52"/>
        <v>0</v>
      </c>
      <c r="AN140">
        <f t="shared" si="52"/>
        <v>0</v>
      </c>
      <c r="AO140">
        <f t="shared" si="52"/>
        <v>0</v>
      </c>
      <c r="AP140">
        <f t="shared" si="52"/>
        <v>0</v>
      </c>
      <c r="AQ140">
        <f t="shared" si="52"/>
        <v>0</v>
      </c>
      <c r="AR140">
        <f t="shared" si="52"/>
        <v>0</v>
      </c>
      <c r="AS140">
        <f t="shared" si="52"/>
        <v>0</v>
      </c>
      <c r="AT140">
        <f t="shared" si="52"/>
        <v>0</v>
      </c>
      <c r="AU140">
        <f t="shared" si="52"/>
        <v>0</v>
      </c>
      <c r="AV140">
        <f t="shared" si="52"/>
        <v>0</v>
      </c>
      <c r="AW140">
        <f t="shared" si="52"/>
        <v>0</v>
      </c>
      <c r="AX140">
        <f t="shared" si="52"/>
        <v>0</v>
      </c>
      <c r="AY140">
        <f t="shared" si="52"/>
        <v>0</v>
      </c>
      <c r="AZ140">
        <f t="shared" si="52"/>
        <v>0</v>
      </c>
      <c r="BA140">
        <f t="shared" si="52"/>
        <v>0</v>
      </c>
      <c r="BB140">
        <f t="shared" si="52"/>
        <v>0</v>
      </c>
      <c r="BC140">
        <f t="shared" si="52"/>
        <v>0</v>
      </c>
      <c r="BE140">
        <f t="shared" si="46"/>
        <v>53</v>
      </c>
    </row>
    <row r="141" spans="2:57" ht="15.75">
      <c r="B141" t="s">
        <v>162</v>
      </c>
      <c r="C141">
        <f t="shared" ref="C141:D141" si="53">COUNTIF(C4:C59, "rVA4")</f>
        <v>0</v>
      </c>
      <c r="D141">
        <f t="shared" si="53"/>
        <v>0</v>
      </c>
      <c r="E141">
        <f t="shared" ref="E141:BC141" si="54">COUNTIF(E4:E59, "rVA4")</f>
        <v>0</v>
      </c>
      <c r="F141">
        <f t="shared" ref="F141:BC141" si="55">COUNTIF(F4:F59, "rVA4")</f>
        <v>0</v>
      </c>
      <c r="G141">
        <f t="shared" si="55"/>
        <v>0</v>
      </c>
      <c r="H141">
        <f t="shared" si="55"/>
        <v>0</v>
      </c>
      <c r="I141">
        <f t="shared" si="55"/>
        <v>0</v>
      </c>
      <c r="J141">
        <f t="shared" si="55"/>
        <v>0</v>
      </c>
      <c r="K141">
        <f t="shared" si="55"/>
        <v>0</v>
      </c>
      <c r="L141">
        <f t="shared" si="55"/>
        <v>0</v>
      </c>
      <c r="M141">
        <f t="shared" si="55"/>
        <v>0</v>
      </c>
      <c r="N141">
        <f t="shared" si="55"/>
        <v>0</v>
      </c>
      <c r="O141">
        <f t="shared" si="55"/>
        <v>0</v>
      </c>
      <c r="P141">
        <f t="shared" si="55"/>
        <v>0</v>
      </c>
      <c r="Q141">
        <f t="shared" si="55"/>
        <v>0</v>
      </c>
      <c r="R141">
        <f t="shared" si="55"/>
        <v>0</v>
      </c>
      <c r="S141">
        <f t="shared" si="55"/>
        <v>0</v>
      </c>
      <c r="T141">
        <f t="shared" si="55"/>
        <v>0</v>
      </c>
      <c r="U141">
        <f t="shared" si="55"/>
        <v>0</v>
      </c>
      <c r="V141">
        <f t="shared" si="55"/>
        <v>0</v>
      </c>
      <c r="W141">
        <f t="shared" si="55"/>
        <v>0</v>
      </c>
      <c r="X141">
        <f t="shared" si="55"/>
        <v>0</v>
      </c>
      <c r="Y141">
        <f t="shared" si="55"/>
        <v>0</v>
      </c>
      <c r="Z141">
        <f t="shared" si="55"/>
        <v>0</v>
      </c>
      <c r="AA141">
        <f t="shared" si="55"/>
        <v>0</v>
      </c>
      <c r="AB141">
        <f t="shared" si="55"/>
        <v>0</v>
      </c>
      <c r="AC141">
        <f t="shared" si="55"/>
        <v>0</v>
      </c>
      <c r="AD141">
        <f t="shared" si="55"/>
        <v>0</v>
      </c>
      <c r="AE141">
        <f t="shared" si="55"/>
        <v>0</v>
      </c>
      <c r="AF141">
        <f t="shared" si="55"/>
        <v>0</v>
      </c>
      <c r="AG141">
        <f t="shared" si="55"/>
        <v>0</v>
      </c>
      <c r="AH141">
        <f t="shared" si="55"/>
        <v>0</v>
      </c>
      <c r="AI141">
        <f t="shared" si="55"/>
        <v>0</v>
      </c>
      <c r="AJ141">
        <f t="shared" si="55"/>
        <v>0</v>
      </c>
      <c r="AK141">
        <f t="shared" si="55"/>
        <v>0</v>
      </c>
      <c r="AL141">
        <f t="shared" si="55"/>
        <v>0</v>
      </c>
      <c r="AM141">
        <f t="shared" si="55"/>
        <v>0</v>
      </c>
      <c r="AN141">
        <f t="shared" si="55"/>
        <v>0</v>
      </c>
      <c r="AO141">
        <f t="shared" si="55"/>
        <v>0</v>
      </c>
      <c r="AP141">
        <f t="shared" si="55"/>
        <v>0</v>
      </c>
      <c r="AQ141">
        <f t="shared" si="55"/>
        <v>0</v>
      </c>
      <c r="AR141">
        <f t="shared" si="55"/>
        <v>0</v>
      </c>
      <c r="AS141">
        <f t="shared" si="55"/>
        <v>0</v>
      </c>
      <c r="AT141">
        <f t="shared" si="55"/>
        <v>0</v>
      </c>
      <c r="AU141">
        <f t="shared" si="55"/>
        <v>0</v>
      </c>
      <c r="AV141">
        <f t="shared" si="55"/>
        <v>0</v>
      </c>
      <c r="AW141">
        <f t="shared" si="55"/>
        <v>0</v>
      </c>
      <c r="AX141">
        <f t="shared" si="55"/>
        <v>0</v>
      </c>
      <c r="AY141">
        <f t="shared" si="55"/>
        <v>0</v>
      </c>
      <c r="AZ141">
        <f t="shared" si="55"/>
        <v>0</v>
      </c>
      <c r="BA141">
        <f t="shared" si="55"/>
        <v>0</v>
      </c>
      <c r="BB141">
        <f t="shared" si="55"/>
        <v>0</v>
      </c>
      <c r="BC141">
        <f t="shared" si="55"/>
        <v>0</v>
      </c>
      <c r="BE141">
        <f t="shared" si="46"/>
        <v>53</v>
      </c>
    </row>
    <row r="142" spans="2:57" ht="15.75">
      <c r="B142" t="s">
        <v>163</v>
      </c>
      <c r="C142">
        <f t="shared" ref="C142:D142" si="56">COUNTIF(C4:C59, "rVA5")</f>
        <v>0</v>
      </c>
      <c r="D142">
        <f t="shared" si="56"/>
        <v>0</v>
      </c>
      <c r="E142">
        <f t="shared" ref="E142:BC142" si="57">COUNTIF(E4:E59, "rVA5")</f>
        <v>0</v>
      </c>
      <c r="F142">
        <f t="shared" ref="F142:BC142" si="58">COUNTIF(F4:F59, "rVA5")</f>
        <v>0</v>
      </c>
      <c r="G142">
        <f t="shared" si="58"/>
        <v>0</v>
      </c>
      <c r="H142">
        <f t="shared" si="58"/>
        <v>0</v>
      </c>
      <c r="I142">
        <f t="shared" si="58"/>
        <v>0</v>
      </c>
      <c r="J142">
        <f t="shared" si="58"/>
        <v>0</v>
      </c>
      <c r="K142">
        <f t="shared" si="58"/>
        <v>0</v>
      </c>
      <c r="L142">
        <f t="shared" si="58"/>
        <v>0</v>
      </c>
      <c r="M142">
        <f t="shared" si="58"/>
        <v>0</v>
      </c>
      <c r="N142">
        <f t="shared" si="58"/>
        <v>0</v>
      </c>
      <c r="O142">
        <f t="shared" si="58"/>
        <v>0</v>
      </c>
      <c r="P142">
        <f t="shared" si="58"/>
        <v>0</v>
      </c>
      <c r="Q142">
        <f t="shared" si="58"/>
        <v>0</v>
      </c>
      <c r="R142">
        <f t="shared" si="58"/>
        <v>0</v>
      </c>
      <c r="S142">
        <f t="shared" si="58"/>
        <v>0</v>
      </c>
      <c r="T142">
        <f t="shared" si="58"/>
        <v>0</v>
      </c>
      <c r="U142">
        <f t="shared" si="58"/>
        <v>0</v>
      </c>
      <c r="V142">
        <f t="shared" si="58"/>
        <v>0</v>
      </c>
      <c r="W142">
        <f t="shared" si="58"/>
        <v>0</v>
      </c>
      <c r="X142">
        <f t="shared" si="58"/>
        <v>0</v>
      </c>
      <c r="Y142">
        <f t="shared" si="58"/>
        <v>0</v>
      </c>
      <c r="Z142">
        <f t="shared" si="58"/>
        <v>0</v>
      </c>
      <c r="AA142">
        <f t="shared" si="58"/>
        <v>0</v>
      </c>
      <c r="AB142">
        <f t="shared" si="58"/>
        <v>0</v>
      </c>
      <c r="AC142">
        <f t="shared" si="58"/>
        <v>0</v>
      </c>
      <c r="AD142">
        <f t="shared" si="58"/>
        <v>0</v>
      </c>
      <c r="AE142">
        <f t="shared" si="58"/>
        <v>0</v>
      </c>
      <c r="AF142">
        <f t="shared" si="58"/>
        <v>0</v>
      </c>
      <c r="AG142">
        <f t="shared" si="58"/>
        <v>0</v>
      </c>
      <c r="AH142">
        <f t="shared" si="58"/>
        <v>0</v>
      </c>
      <c r="AI142">
        <f t="shared" si="58"/>
        <v>0</v>
      </c>
      <c r="AJ142">
        <f t="shared" si="58"/>
        <v>0</v>
      </c>
      <c r="AK142">
        <f t="shared" si="58"/>
        <v>0</v>
      </c>
      <c r="AL142">
        <f t="shared" si="58"/>
        <v>0</v>
      </c>
      <c r="AM142">
        <f t="shared" si="58"/>
        <v>0</v>
      </c>
      <c r="AN142">
        <f t="shared" si="58"/>
        <v>0</v>
      </c>
      <c r="AO142">
        <f t="shared" si="58"/>
        <v>0</v>
      </c>
      <c r="AP142">
        <f t="shared" si="58"/>
        <v>0</v>
      </c>
      <c r="AQ142">
        <f t="shared" si="58"/>
        <v>0</v>
      </c>
      <c r="AR142">
        <f t="shared" si="58"/>
        <v>0</v>
      </c>
      <c r="AS142">
        <f t="shared" si="58"/>
        <v>0</v>
      </c>
      <c r="AT142">
        <f t="shared" si="58"/>
        <v>0</v>
      </c>
      <c r="AU142">
        <f t="shared" si="58"/>
        <v>0</v>
      </c>
      <c r="AV142">
        <f t="shared" si="58"/>
        <v>0</v>
      </c>
      <c r="AW142">
        <f t="shared" si="58"/>
        <v>0</v>
      </c>
      <c r="AX142">
        <f t="shared" si="58"/>
        <v>0</v>
      </c>
      <c r="AY142">
        <f t="shared" si="58"/>
        <v>0</v>
      </c>
      <c r="AZ142">
        <f t="shared" si="58"/>
        <v>0</v>
      </c>
      <c r="BA142">
        <f t="shared" si="58"/>
        <v>0</v>
      </c>
      <c r="BB142">
        <f t="shared" si="58"/>
        <v>0</v>
      </c>
      <c r="BC142">
        <f t="shared" si="58"/>
        <v>0</v>
      </c>
      <c r="BE142">
        <f t="shared" si="46"/>
        <v>53</v>
      </c>
    </row>
    <row r="143" spans="2:57" ht="15.75"/>
    <row r="144" spans="2:57" ht="15.75">
      <c r="B144" s="8" t="s">
        <v>136</v>
      </c>
      <c r="C144">
        <f t="shared" ref="C144:D144" si="59">SUM(C145:C147)</f>
        <v>0</v>
      </c>
      <c r="D144">
        <f t="shared" si="59"/>
        <v>0</v>
      </c>
      <c r="E144">
        <f t="shared" ref="D144:BC145" si="60">SUM(E145:E147)</f>
        <v>0</v>
      </c>
      <c r="F144">
        <f t="shared" ref="F144:BC144" si="61">SUM(F145:F147)</f>
        <v>0</v>
      </c>
      <c r="G144">
        <f t="shared" si="61"/>
        <v>0</v>
      </c>
      <c r="H144">
        <f t="shared" si="61"/>
        <v>0</v>
      </c>
      <c r="I144">
        <f t="shared" si="61"/>
        <v>0</v>
      </c>
      <c r="J144">
        <f t="shared" si="61"/>
        <v>0</v>
      </c>
      <c r="K144">
        <f t="shared" si="61"/>
        <v>0</v>
      </c>
      <c r="L144">
        <f t="shared" si="61"/>
        <v>0</v>
      </c>
      <c r="M144">
        <f t="shared" si="61"/>
        <v>0</v>
      </c>
      <c r="N144">
        <f t="shared" si="61"/>
        <v>0</v>
      </c>
      <c r="O144">
        <f t="shared" si="61"/>
        <v>0</v>
      </c>
      <c r="P144">
        <f t="shared" si="61"/>
        <v>0</v>
      </c>
      <c r="Q144">
        <f t="shared" si="61"/>
        <v>0</v>
      </c>
      <c r="R144">
        <f t="shared" si="61"/>
        <v>0</v>
      </c>
      <c r="S144">
        <f t="shared" si="61"/>
        <v>0</v>
      </c>
      <c r="T144">
        <f t="shared" si="61"/>
        <v>0</v>
      </c>
      <c r="U144">
        <f t="shared" si="61"/>
        <v>0</v>
      </c>
      <c r="V144">
        <f t="shared" si="61"/>
        <v>0</v>
      </c>
      <c r="W144">
        <f t="shared" si="61"/>
        <v>0</v>
      </c>
      <c r="X144">
        <f t="shared" si="61"/>
        <v>0</v>
      </c>
      <c r="Y144">
        <f t="shared" si="61"/>
        <v>0</v>
      </c>
      <c r="Z144">
        <f t="shared" si="61"/>
        <v>0</v>
      </c>
      <c r="AA144">
        <f t="shared" si="61"/>
        <v>0</v>
      </c>
      <c r="AB144">
        <f t="shared" si="61"/>
        <v>0</v>
      </c>
      <c r="AC144">
        <f t="shared" si="61"/>
        <v>0</v>
      </c>
      <c r="AD144">
        <f t="shared" si="61"/>
        <v>0</v>
      </c>
      <c r="AE144">
        <f t="shared" si="61"/>
        <v>0</v>
      </c>
      <c r="AF144">
        <f t="shared" si="61"/>
        <v>0</v>
      </c>
      <c r="AG144">
        <f t="shared" si="61"/>
        <v>0</v>
      </c>
      <c r="AH144">
        <f t="shared" si="61"/>
        <v>0</v>
      </c>
      <c r="AI144">
        <f t="shared" si="61"/>
        <v>0</v>
      </c>
      <c r="AJ144">
        <f t="shared" si="61"/>
        <v>0</v>
      </c>
      <c r="AK144">
        <f t="shared" si="61"/>
        <v>0</v>
      </c>
      <c r="AL144">
        <f t="shared" si="61"/>
        <v>0</v>
      </c>
      <c r="AM144">
        <f t="shared" si="61"/>
        <v>0</v>
      </c>
      <c r="AN144">
        <f t="shared" si="61"/>
        <v>0</v>
      </c>
      <c r="AO144">
        <f t="shared" si="61"/>
        <v>0</v>
      </c>
      <c r="AP144">
        <f t="shared" si="61"/>
        <v>0</v>
      </c>
      <c r="AQ144">
        <f t="shared" si="61"/>
        <v>0</v>
      </c>
      <c r="AR144">
        <f t="shared" si="61"/>
        <v>0</v>
      </c>
      <c r="AS144">
        <f t="shared" si="61"/>
        <v>0</v>
      </c>
      <c r="AT144">
        <f t="shared" si="61"/>
        <v>0</v>
      </c>
      <c r="AU144">
        <f t="shared" si="61"/>
        <v>0</v>
      </c>
      <c r="AV144">
        <f t="shared" si="61"/>
        <v>0</v>
      </c>
      <c r="AW144">
        <f t="shared" si="61"/>
        <v>0</v>
      </c>
      <c r="AX144">
        <f t="shared" si="61"/>
        <v>0</v>
      </c>
      <c r="AY144">
        <f t="shared" si="61"/>
        <v>0</v>
      </c>
      <c r="AZ144">
        <f t="shared" si="61"/>
        <v>0</v>
      </c>
      <c r="BA144">
        <f t="shared" si="61"/>
        <v>0</v>
      </c>
      <c r="BB144">
        <f t="shared" si="61"/>
        <v>0</v>
      </c>
      <c r="BC144">
        <f t="shared" si="61"/>
        <v>0</v>
      </c>
    </row>
    <row r="145" spans="2:57" ht="15.75">
      <c r="B145" t="s">
        <v>164</v>
      </c>
      <c r="C145">
        <f t="shared" ref="C145:D145" si="62">COUNTIF(C4:C59, "rMICU1")</f>
        <v>0</v>
      </c>
      <c r="D145">
        <f t="shared" si="62"/>
        <v>0</v>
      </c>
      <c r="E145">
        <f t="shared" ref="E145:BC145" si="63">COUNTIF(E4:E59, "rMICU1")</f>
        <v>0</v>
      </c>
      <c r="F145">
        <f t="shared" ref="F145:BC145" si="64">COUNTIF(F4:F59, "rMICU1")</f>
        <v>0</v>
      </c>
      <c r="G145">
        <f t="shared" si="64"/>
        <v>0</v>
      </c>
      <c r="H145">
        <f t="shared" si="64"/>
        <v>0</v>
      </c>
      <c r="I145">
        <f t="shared" si="64"/>
        <v>0</v>
      </c>
      <c r="J145">
        <f t="shared" si="64"/>
        <v>0</v>
      </c>
      <c r="K145">
        <f t="shared" si="64"/>
        <v>0</v>
      </c>
      <c r="L145">
        <f t="shared" si="64"/>
        <v>0</v>
      </c>
      <c r="M145">
        <f t="shared" si="64"/>
        <v>0</v>
      </c>
      <c r="N145">
        <f t="shared" si="64"/>
        <v>0</v>
      </c>
      <c r="O145">
        <f t="shared" si="64"/>
        <v>0</v>
      </c>
      <c r="P145">
        <f t="shared" si="64"/>
        <v>0</v>
      </c>
      <c r="Q145">
        <f t="shared" si="64"/>
        <v>0</v>
      </c>
      <c r="R145">
        <f t="shared" si="64"/>
        <v>0</v>
      </c>
      <c r="S145">
        <f t="shared" si="64"/>
        <v>0</v>
      </c>
      <c r="T145">
        <f t="shared" si="64"/>
        <v>0</v>
      </c>
      <c r="U145">
        <f t="shared" si="64"/>
        <v>0</v>
      </c>
      <c r="V145">
        <f t="shared" si="64"/>
        <v>0</v>
      </c>
      <c r="W145">
        <f t="shared" si="64"/>
        <v>0</v>
      </c>
      <c r="X145">
        <f t="shared" si="64"/>
        <v>0</v>
      </c>
      <c r="Y145">
        <f t="shared" si="64"/>
        <v>0</v>
      </c>
      <c r="Z145">
        <f t="shared" si="64"/>
        <v>0</v>
      </c>
      <c r="AA145">
        <f t="shared" si="64"/>
        <v>0</v>
      </c>
      <c r="AB145">
        <f t="shared" si="64"/>
        <v>0</v>
      </c>
      <c r="AC145">
        <f t="shared" si="64"/>
        <v>0</v>
      </c>
      <c r="AD145">
        <f t="shared" si="64"/>
        <v>0</v>
      </c>
      <c r="AE145">
        <f t="shared" si="64"/>
        <v>0</v>
      </c>
      <c r="AF145">
        <f t="shared" si="64"/>
        <v>0</v>
      </c>
      <c r="AG145">
        <f t="shared" si="64"/>
        <v>0</v>
      </c>
      <c r="AH145">
        <f t="shared" si="64"/>
        <v>0</v>
      </c>
      <c r="AI145">
        <f t="shared" si="64"/>
        <v>0</v>
      </c>
      <c r="AJ145">
        <f t="shared" si="64"/>
        <v>0</v>
      </c>
      <c r="AK145">
        <f t="shared" si="64"/>
        <v>0</v>
      </c>
      <c r="AL145">
        <f t="shared" si="64"/>
        <v>0</v>
      </c>
      <c r="AM145">
        <f t="shared" si="64"/>
        <v>0</v>
      </c>
      <c r="AN145">
        <f t="shared" si="64"/>
        <v>0</v>
      </c>
      <c r="AO145">
        <f t="shared" si="64"/>
        <v>0</v>
      </c>
      <c r="AP145">
        <f t="shared" si="64"/>
        <v>0</v>
      </c>
      <c r="AQ145">
        <f t="shared" si="64"/>
        <v>0</v>
      </c>
      <c r="AR145">
        <f t="shared" si="64"/>
        <v>0</v>
      </c>
      <c r="AS145">
        <f t="shared" si="64"/>
        <v>0</v>
      </c>
      <c r="AT145">
        <f t="shared" si="64"/>
        <v>0</v>
      </c>
      <c r="AU145">
        <f t="shared" si="64"/>
        <v>0</v>
      </c>
      <c r="AV145">
        <f t="shared" si="64"/>
        <v>0</v>
      </c>
      <c r="AW145">
        <f t="shared" si="64"/>
        <v>0</v>
      </c>
      <c r="AX145">
        <f t="shared" si="64"/>
        <v>0</v>
      </c>
      <c r="AY145">
        <f t="shared" si="64"/>
        <v>0</v>
      </c>
      <c r="AZ145">
        <f t="shared" si="64"/>
        <v>0</v>
      </c>
      <c r="BA145">
        <f t="shared" si="64"/>
        <v>0</v>
      </c>
      <c r="BB145">
        <f t="shared" si="64"/>
        <v>0</v>
      </c>
      <c r="BC145">
        <f t="shared" si="64"/>
        <v>0</v>
      </c>
      <c r="BE145">
        <f t="shared" ref="BE145:BE147" si="65">COUNTIF(C145:BC145, "0")</f>
        <v>53</v>
      </c>
    </row>
    <row r="146" spans="2:57" ht="15.75">
      <c r="B146" t="s">
        <v>165</v>
      </c>
      <c r="C146">
        <f t="shared" ref="C146:D146" si="66">COUNTIF(C4:C59, "rMICU2")</f>
        <v>0</v>
      </c>
      <c r="D146">
        <f t="shared" si="66"/>
        <v>0</v>
      </c>
      <c r="E146">
        <f t="shared" ref="E146:BC146" si="67">COUNTIF(E4:E59, "rMICU2")</f>
        <v>0</v>
      </c>
      <c r="F146">
        <f t="shared" ref="F146:BC146" si="68">COUNTIF(F4:F59, "rMICU2")</f>
        <v>0</v>
      </c>
      <c r="G146">
        <f t="shared" si="68"/>
        <v>0</v>
      </c>
      <c r="H146">
        <f t="shared" si="68"/>
        <v>0</v>
      </c>
      <c r="I146">
        <f t="shared" si="68"/>
        <v>0</v>
      </c>
      <c r="J146">
        <f t="shared" si="68"/>
        <v>0</v>
      </c>
      <c r="K146">
        <f t="shared" si="68"/>
        <v>0</v>
      </c>
      <c r="L146">
        <f t="shared" si="68"/>
        <v>0</v>
      </c>
      <c r="M146">
        <f t="shared" si="68"/>
        <v>0</v>
      </c>
      <c r="N146">
        <f t="shared" si="68"/>
        <v>0</v>
      </c>
      <c r="O146">
        <f t="shared" si="68"/>
        <v>0</v>
      </c>
      <c r="P146">
        <f t="shared" si="68"/>
        <v>0</v>
      </c>
      <c r="Q146">
        <f t="shared" si="68"/>
        <v>0</v>
      </c>
      <c r="R146">
        <f t="shared" si="68"/>
        <v>0</v>
      </c>
      <c r="S146">
        <f t="shared" si="68"/>
        <v>0</v>
      </c>
      <c r="T146">
        <f t="shared" si="68"/>
        <v>0</v>
      </c>
      <c r="U146">
        <f t="shared" si="68"/>
        <v>0</v>
      </c>
      <c r="V146">
        <f t="shared" si="68"/>
        <v>0</v>
      </c>
      <c r="W146">
        <f t="shared" si="68"/>
        <v>0</v>
      </c>
      <c r="X146">
        <f t="shared" si="68"/>
        <v>0</v>
      </c>
      <c r="Y146">
        <f t="shared" si="68"/>
        <v>0</v>
      </c>
      <c r="Z146">
        <f t="shared" si="68"/>
        <v>0</v>
      </c>
      <c r="AA146">
        <f t="shared" si="68"/>
        <v>0</v>
      </c>
      <c r="AB146">
        <f t="shared" si="68"/>
        <v>0</v>
      </c>
      <c r="AC146">
        <f t="shared" si="68"/>
        <v>0</v>
      </c>
      <c r="AD146">
        <f t="shared" si="68"/>
        <v>0</v>
      </c>
      <c r="AE146">
        <f t="shared" si="68"/>
        <v>0</v>
      </c>
      <c r="AF146">
        <f t="shared" si="68"/>
        <v>0</v>
      </c>
      <c r="AG146">
        <f t="shared" si="68"/>
        <v>0</v>
      </c>
      <c r="AH146">
        <f t="shared" si="68"/>
        <v>0</v>
      </c>
      <c r="AI146">
        <f t="shared" si="68"/>
        <v>0</v>
      </c>
      <c r="AJ146">
        <f t="shared" si="68"/>
        <v>0</v>
      </c>
      <c r="AK146">
        <f t="shared" si="68"/>
        <v>0</v>
      </c>
      <c r="AL146">
        <f t="shared" si="68"/>
        <v>0</v>
      </c>
      <c r="AM146">
        <f t="shared" si="68"/>
        <v>0</v>
      </c>
      <c r="AN146">
        <f t="shared" si="68"/>
        <v>0</v>
      </c>
      <c r="AO146">
        <f t="shared" si="68"/>
        <v>0</v>
      </c>
      <c r="AP146">
        <f t="shared" si="68"/>
        <v>0</v>
      </c>
      <c r="AQ146">
        <f t="shared" si="68"/>
        <v>0</v>
      </c>
      <c r="AR146">
        <f t="shared" si="68"/>
        <v>0</v>
      </c>
      <c r="AS146">
        <f t="shared" si="68"/>
        <v>0</v>
      </c>
      <c r="AT146">
        <f t="shared" si="68"/>
        <v>0</v>
      </c>
      <c r="AU146">
        <f t="shared" si="68"/>
        <v>0</v>
      </c>
      <c r="AV146">
        <f t="shared" si="68"/>
        <v>0</v>
      </c>
      <c r="AW146">
        <f t="shared" si="68"/>
        <v>0</v>
      </c>
      <c r="AX146">
        <f t="shared" si="68"/>
        <v>0</v>
      </c>
      <c r="AY146">
        <f t="shared" si="68"/>
        <v>0</v>
      </c>
      <c r="AZ146">
        <f t="shared" si="68"/>
        <v>0</v>
      </c>
      <c r="BA146">
        <f t="shared" si="68"/>
        <v>0</v>
      </c>
      <c r="BB146">
        <f t="shared" si="68"/>
        <v>0</v>
      </c>
      <c r="BC146">
        <f t="shared" si="68"/>
        <v>0</v>
      </c>
      <c r="BE146">
        <f t="shared" si="65"/>
        <v>53</v>
      </c>
    </row>
    <row r="147" spans="2:57" ht="15.75">
      <c r="B147" t="s">
        <v>166</v>
      </c>
      <c r="C147">
        <f t="shared" ref="C147:D147" si="69">COUNTIF(C4:C59, "rMICU3")</f>
        <v>0</v>
      </c>
      <c r="D147">
        <f t="shared" si="69"/>
        <v>0</v>
      </c>
      <c r="E147">
        <f t="shared" ref="E147:BC147" si="70">COUNTIF(E4:E59, "rMICU3")</f>
        <v>0</v>
      </c>
      <c r="F147">
        <f t="shared" ref="F147:BC147" si="71">COUNTIF(F4:F59, "rMICU3")</f>
        <v>0</v>
      </c>
      <c r="G147">
        <f t="shared" si="71"/>
        <v>0</v>
      </c>
      <c r="H147">
        <f t="shared" si="71"/>
        <v>0</v>
      </c>
      <c r="I147">
        <f t="shared" si="71"/>
        <v>0</v>
      </c>
      <c r="J147">
        <f t="shared" si="71"/>
        <v>0</v>
      </c>
      <c r="K147">
        <f t="shared" si="71"/>
        <v>0</v>
      </c>
      <c r="L147">
        <f t="shared" si="71"/>
        <v>0</v>
      </c>
      <c r="M147">
        <f t="shared" si="71"/>
        <v>0</v>
      </c>
      <c r="N147">
        <f t="shared" si="71"/>
        <v>0</v>
      </c>
      <c r="O147">
        <f t="shared" si="71"/>
        <v>0</v>
      </c>
      <c r="P147">
        <f t="shared" si="71"/>
        <v>0</v>
      </c>
      <c r="Q147">
        <f t="shared" si="71"/>
        <v>0</v>
      </c>
      <c r="R147">
        <f t="shared" si="71"/>
        <v>0</v>
      </c>
      <c r="S147">
        <f t="shared" si="71"/>
        <v>0</v>
      </c>
      <c r="T147">
        <f t="shared" si="71"/>
        <v>0</v>
      </c>
      <c r="U147">
        <f t="shared" si="71"/>
        <v>0</v>
      </c>
      <c r="V147">
        <f t="shared" si="71"/>
        <v>0</v>
      </c>
      <c r="W147">
        <f t="shared" si="71"/>
        <v>0</v>
      </c>
      <c r="X147">
        <f t="shared" si="71"/>
        <v>0</v>
      </c>
      <c r="Y147">
        <f t="shared" si="71"/>
        <v>0</v>
      </c>
      <c r="Z147">
        <f t="shared" si="71"/>
        <v>0</v>
      </c>
      <c r="AA147">
        <f t="shared" si="71"/>
        <v>0</v>
      </c>
      <c r="AB147">
        <f t="shared" si="71"/>
        <v>0</v>
      </c>
      <c r="AC147">
        <f t="shared" si="71"/>
        <v>0</v>
      </c>
      <c r="AD147">
        <f t="shared" si="71"/>
        <v>0</v>
      </c>
      <c r="AE147">
        <f t="shared" si="71"/>
        <v>0</v>
      </c>
      <c r="AF147">
        <f t="shared" si="71"/>
        <v>0</v>
      </c>
      <c r="AG147">
        <f t="shared" si="71"/>
        <v>0</v>
      </c>
      <c r="AH147">
        <f t="shared" si="71"/>
        <v>0</v>
      </c>
      <c r="AI147">
        <f t="shared" si="71"/>
        <v>0</v>
      </c>
      <c r="AJ147">
        <f t="shared" si="71"/>
        <v>0</v>
      </c>
      <c r="AK147">
        <f t="shared" si="71"/>
        <v>0</v>
      </c>
      <c r="AL147">
        <f t="shared" si="71"/>
        <v>0</v>
      </c>
      <c r="AM147">
        <f t="shared" si="71"/>
        <v>0</v>
      </c>
      <c r="AN147">
        <f t="shared" si="71"/>
        <v>0</v>
      </c>
      <c r="AO147">
        <f t="shared" si="71"/>
        <v>0</v>
      </c>
      <c r="AP147">
        <f t="shared" si="71"/>
        <v>0</v>
      </c>
      <c r="AQ147">
        <f t="shared" si="71"/>
        <v>0</v>
      </c>
      <c r="AR147">
        <f t="shared" si="71"/>
        <v>0</v>
      </c>
      <c r="AS147">
        <f t="shared" si="71"/>
        <v>0</v>
      </c>
      <c r="AT147">
        <f t="shared" si="71"/>
        <v>0</v>
      </c>
      <c r="AU147">
        <f t="shared" si="71"/>
        <v>0</v>
      </c>
      <c r="AV147">
        <f t="shared" si="71"/>
        <v>0</v>
      </c>
      <c r="AW147">
        <f t="shared" si="71"/>
        <v>0</v>
      </c>
      <c r="AX147">
        <f t="shared" si="71"/>
        <v>0</v>
      </c>
      <c r="AY147">
        <f t="shared" si="71"/>
        <v>0</v>
      </c>
      <c r="AZ147">
        <f t="shared" si="71"/>
        <v>0</v>
      </c>
      <c r="BA147">
        <f t="shared" si="71"/>
        <v>0</v>
      </c>
      <c r="BB147">
        <f t="shared" si="71"/>
        <v>0</v>
      </c>
      <c r="BC147">
        <f t="shared" si="71"/>
        <v>0</v>
      </c>
      <c r="BE147">
        <f t="shared" si="65"/>
        <v>53</v>
      </c>
    </row>
    <row r="148" spans="2:57" ht="15.75"/>
    <row r="149" spans="2:57" ht="15.75">
      <c r="B149" s="8" t="s">
        <v>138</v>
      </c>
      <c r="C149">
        <f t="shared" ref="C149:D149" si="72">SUM(C150:C151)</f>
        <v>0</v>
      </c>
      <c r="D149">
        <f t="shared" si="72"/>
        <v>0</v>
      </c>
      <c r="E149">
        <f t="shared" ref="D149:BC150" si="73">SUM(E150:E151)</f>
        <v>0</v>
      </c>
      <c r="F149">
        <f t="shared" ref="F149:BC149" si="74">SUM(F150:F151)</f>
        <v>0</v>
      </c>
      <c r="G149">
        <f t="shared" si="74"/>
        <v>0</v>
      </c>
      <c r="H149">
        <f t="shared" si="74"/>
        <v>0</v>
      </c>
      <c r="I149">
        <f t="shared" si="74"/>
        <v>0</v>
      </c>
      <c r="J149">
        <f t="shared" si="74"/>
        <v>0</v>
      </c>
      <c r="K149">
        <f t="shared" si="74"/>
        <v>0</v>
      </c>
      <c r="L149">
        <f t="shared" si="74"/>
        <v>0</v>
      </c>
      <c r="M149">
        <f t="shared" si="74"/>
        <v>0</v>
      </c>
      <c r="N149">
        <f t="shared" si="74"/>
        <v>0</v>
      </c>
      <c r="O149">
        <f t="shared" si="74"/>
        <v>0</v>
      </c>
      <c r="P149">
        <f t="shared" si="74"/>
        <v>0</v>
      </c>
      <c r="Q149">
        <f t="shared" si="74"/>
        <v>0</v>
      </c>
      <c r="R149">
        <f t="shared" si="74"/>
        <v>0</v>
      </c>
      <c r="S149">
        <f t="shared" si="74"/>
        <v>0</v>
      </c>
      <c r="T149">
        <f t="shared" si="74"/>
        <v>0</v>
      </c>
      <c r="U149">
        <f t="shared" si="74"/>
        <v>0</v>
      </c>
      <c r="V149">
        <f t="shared" si="74"/>
        <v>0</v>
      </c>
      <c r="W149">
        <f t="shared" si="74"/>
        <v>0</v>
      </c>
      <c r="X149">
        <f t="shared" si="74"/>
        <v>0</v>
      </c>
      <c r="Y149">
        <f t="shared" si="74"/>
        <v>0</v>
      </c>
      <c r="Z149">
        <f t="shared" si="74"/>
        <v>0</v>
      </c>
      <c r="AA149">
        <f t="shared" si="74"/>
        <v>0</v>
      </c>
      <c r="AB149">
        <f t="shared" si="74"/>
        <v>0</v>
      </c>
      <c r="AC149">
        <f t="shared" si="74"/>
        <v>0</v>
      </c>
      <c r="AD149">
        <f t="shared" si="74"/>
        <v>0</v>
      </c>
      <c r="AE149">
        <f t="shared" si="74"/>
        <v>0</v>
      </c>
      <c r="AF149">
        <f t="shared" si="74"/>
        <v>0</v>
      </c>
      <c r="AG149">
        <f t="shared" si="74"/>
        <v>0</v>
      </c>
      <c r="AH149">
        <f t="shared" si="74"/>
        <v>0</v>
      </c>
      <c r="AI149">
        <f t="shared" si="74"/>
        <v>0</v>
      </c>
      <c r="AJ149">
        <f t="shared" si="74"/>
        <v>0</v>
      </c>
      <c r="AK149">
        <f t="shared" si="74"/>
        <v>0</v>
      </c>
      <c r="AL149">
        <f t="shared" si="74"/>
        <v>0</v>
      </c>
      <c r="AM149">
        <f t="shared" si="74"/>
        <v>0</v>
      </c>
      <c r="AN149">
        <f t="shared" si="74"/>
        <v>0</v>
      </c>
      <c r="AO149">
        <f t="shared" si="74"/>
        <v>0</v>
      </c>
      <c r="AP149">
        <f t="shared" si="74"/>
        <v>0</v>
      </c>
      <c r="AQ149">
        <f t="shared" si="74"/>
        <v>0</v>
      </c>
      <c r="AR149">
        <f t="shared" si="74"/>
        <v>0</v>
      </c>
      <c r="AS149">
        <f t="shared" si="74"/>
        <v>0</v>
      </c>
      <c r="AT149">
        <f t="shared" si="74"/>
        <v>0</v>
      </c>
      <c r="AU149">
        <f t="shared" si="74"/>
        <v>0</v>
      </c>
      <c r="AV149">
        <f t="shared" si="74"/>
        <v>0</v>
      </c>
      <c r="AW149">
        <f t="shared" si="74"/>
        <v>0</v>
      </c>
      <c r="AX149">
        <f t="shared" si="74"/>
        <v>0</v>
      </c>
      <c r="AY149">
        <f t="shared" si="74"/>
        <v>0</v>
      </c>
      <c r="AZ149">
        <f t="shared" si="74"/>
        <v>0</v>
      </c>
      <c r="BA149">
        <f t="shared" si="74"/>
        <v>0</v>
      </c>
      <c r="BB149">
        <f t="shared" si="74"/>
        <v>0</v>
      </c>
      <c r="BC149">
        <f t="shared" si="74"/>
        <v>0</v>
      </c>
    </row>
    <row r="150" spans="2:57" ht="15.75">
      <c r="B150" t="s">
        <v>167</v>
      </c>
      <c r="C150">
        <f t="shared" ref="C150:D150" si="75">COUNTIF(C4:C59, "rCar1")</f>
        <v>0</v>
      </c>
      <c r="D150">
        <f t="shared" si="75"/>
        <v>0</v>
      </c>
      <c r="E150">
        <f t="shared" ref="E150:BC150" si="76">COUNTIF(E4:E59, "rCar1")</f>
        <v>0</v>
      </c>
      <c r="F150">
        <f t="shared" ref="F150:BC150" si="77">COUNTIF(F4:F59, "rCar1")</f>
        <v>0</v>
      </c>
      <c r="G150">
        <f t="shared" si="77"/>
        <v>0</v>
      </c>
      <c r="H150">
        <f t="shared" si="77"/>
        <v>0</v>
      </c>
      <c r="I150">
        <f t="shared" si="77"/>
        <v>0</v>
      </c>
      <c r="J150">
        <f t="shared" si="77"/>
        <v>0</v>
      </c>
      <c r="K150">
        <f t="shared" si="77"/>
        <v>0</v>
      </c>
      <c r="L150">
        <f t="shared" si="77"/>
        <v>0</v>
      </c>
      <c r="M150">
        <f t="shared" si="77"/>
        <v>0</v>
      </c>
      <c r="N150">
        <f t="shared" si="77"/>
        <v>0</v>
      </c>
      <c r="O150">
        <f t="shared" si="77"/>
        <v>0</v>
      </c>
      <c r="P150">
        <f t="shared" si="77"/>
        <v>0</v>
      </c>
      <c r="Q150">
        <f t="shared" si="77"/>
        <v>0</v>
      </c>
      <c r="R150">
        <f t="shared" si="77"/>
        <v>0</v>
      </c>
      <c r="S150">
        <f t="shared" si="77"/>
        <v>0</v>
      </c>
      <c r="T150">
        <f t="shared" si="77"/>
        <v>0</v>
      </c>
      <c r="U150">
        <f t="shared" si="77"/>
        <v>0</v>
      </c>
      <c r="V150">
        <f t="shared" si="77"/>
        <v>0</v>
      </c>
      <c r="W150">
        <f t="shared" si="77"/>
        <v>0</v>
      </c>
      <c r="X150">
        <f t="shared" si="77"/>
        <v>0</v>
      </c>
      <c r="Y150">
        <f t="shared" si="77"/>
        <v>0</v>
      </c>
      <c r="Z150">
        <f t="shared" si="77"/>
        <v>0</v>
      </c>
      <c r="AA150">
        <f t="shared" si="77"/>
        <v>0</v>
      </c>
      <c r="AB150">
        <f t="shared" si="77"/>
        <v>0</v>
      </c>
      <c r="AC150">
        <f t="shared" si="77"/>
        <v>0</v>
      </c>
      <c r="AD150">
        <f t="shared" si="77"/>
        <v>0</v>
      </c>
      <c r="AE150">
        <f t="shared" si="77"/>
        <v>0</v>
      </c>
      <c r="AF150">
        <f t="shared" si="77"/>
        <v>0</v>
      </c>
      <c r="AG150">
        <f t="shared" si="77"/>
        <v>0</v>
      </c>
      <c r="AH150">
        <f t="shared" si="77"/>
        <v>0</v>
      </c>
      <c r="AI150">
        <f t="shared" si="77"/>
        <v>0</v>
      </c>
      <c r="AJ150">
        <f t="shared" si="77"/>
        <v>0</v>
      </c>
      <c r="AK150">
        <f t="shared" si="77"/>
        <v>0</v>
      </c>
      <c r="AL150">
        <f t="shared" si="77"/>
        <v>0</v>
      </c>
      <c r="AM150">
        <f t="shared" si="77"/>
        <v>0</v>
      </c>
      <c r="AN150">
        <f t="shared" si="77"/>
        <v>0</v>
      </c>
      <c r="AO150">
        <f t="shared" si="77"/>
        <v>0</v>
      </c>
      <c r="AP150">
        <f t="shared" si="77"/>
        <v>0</v>
      </c>
      <c r="AQ150">
        <f t="shared" si="77"/>
        <v>0</v>
      </c>
      <c r="AR150">
        <f t="shared" si="77"/>
        <v>0</v>
      </c>
      <c r="AS150">
        <f t="shared" si="77"/>
        <v>0</v>
      </c>
      <c r="AT150">
        <f t="shared" si="77"/>
        <v>0</v>
      </c>
      <c r="AU150">
        <f t="shared" si="77"/>
        <v>0</v>
      </c>
      <c r="AV150">
        <f t="shared" si="77"/>
        <v>0</v>
      </c>
      <c r="AW150">
        <f t="shared" si="77"/>
        <v>0</v>
      </c>
      <c r="AX150">
        <f t="shared" si="77"/>
        <v>0</v>
      </c>
      <c r="AY150">
        <f t="shared" si="77"/>
        <v>0</v>
      </c>
      <c r="AZ150">
        <f t="shared" si="77"/>
        <v>0</v>
      </c>
      <c r="BA150">
        <f t="shared" si="77"/>
        <v>0</v>
      </c>
      <c r="BB150">
        <f t="shared" si="77"/>
        <v>0</v>
      </c>
      <c r="BC150">
        <f t="shared" si="77"/>
        <v>0</v>
      </c>
      <c r="BE150">
        <f t="shared" ref="BE150:BE151" si="78">COUNTIF(C150:BC150, "0")</f>
        <v>53</v>
      </c>
    </row>
    <row r="151" spans="2:57" ht="15.75">
      <c r="B151" t="s">
        <v>168</v>
      </c>
      <c r="C151">
        <f t="shared" ref="C151:D151" si="79">COUNTIF(C4:C59, "rCar2")</f>
        <v>0</v>
      </c>
      <c r="D151">
        <f t="shared" si="79"/>
        <v>0</v>
      </c>
      <c r="E151">
        <f t="shared" ref="E151:BC151" si="80">COUNTIF(E4:E59, "rCar2")</f>
        <v>0</v>
      </c>
      <c r="F151">
        <f t="shared" ref="F151:BC151" si="81">COUNTIF(F4:F59, "rCar2")</f>
        <v>0</v>
      </c>
      <c r="G151">
        <f t="shared" si="81"/>
        <v>0</v>
      </c>
      <c r="H151">
        <f t="shared" si="81"/>
        <v>0</v>
      </c>
      <c r="I151">
        <f t="shared" si="81"/>
        <v>0</v>
      </c>
      <c r="J151">
        <f t="shared" si="81"/>
        <v>0</v>
      </c>
      <c r="K151">
        <f t="shared" si="81"/>
        <v>0</v>
      </c>
      <c r="L151">
        <f t="shared" si="81"/>
        <v>0</v>
      </c>
      <c r="M151">
        <f t="shared" si="81"/>
        <v>0</v>
      </c>
      <c r="N151">
        <f t="shared" si="81"/>
        <v>0</v>
      </c>
      <c r="O151">
        <f t="shared" si="81"/>
        <v>0</v>
      </c>
      <c r="P151">
        <f t="shared" si="81"/>
        <v>0</v>
      </c>
      <c r="Q151">
        <f t="shared" si="81"/>
        <v>0</v>
      </c>
      <c r="R151">
        <f t="shared" si="81"/>
        <v>0</v>
      </c>
      <c r="S151">
        <f t="shared" si="81"/>
        <v>0</v>
      </c>
      <c r="T151">
        <f t="shared" si="81"/>
        <v>0</v>
      </c>
      <c r="U151">
        <f t="shared" si="81"/>
        <v>0</v>
      </c>
      <c r="V151">
        <f t="shared" si="81"/>
        <v>0</v>
      </c>
      <c r="W151">
        <f t="shared" si="81"/>
        <v>0</v>
      </c>
      <c r="X151">
        <f t="shared" si="81"/>
        <v>0</v>
      </c>
      <c r="Y151">
        <f t="shared" si="81"/>
        <v>0</v>
      </c>
      <c r="Z151">
        <f t="shared" si="81"/>
        <v>0</v>
      </c>
      <c r="AA151">
        <f t="shared" si="81"/>
        <v>0</v>
      </c>
      <c r="AB151">
        <f t="shared" si="81"/>
        <v>0</v>
      </c>
      <c r="AC151">
        <f t="shared" si="81"/>
        <v>0</v>
      </c>
      <c r="AD151">
        <f t="shared" si="81"/>
        <v>0</v>
      </c>
      <c r="AE151">
        <f t="shared" si="81"/>
        <v>0</v>
      </c>
      <c r="AF151">
        <f t="shared" si="81"/>
        <v>0</v>
      </c>
      <c r="AG151">
        <f t="shared" si="81"/>
        <v>0</v>
      </c>
      <c r="AH151">
        <f t="shared" si="81"/>
        <v>0</v>
      </c>
      <c r="AI151">
        <f t="shared" si="81"/>
        <v>0</v>
      </c>
      <c r="AJ151">
        <f t="shared" si="81"/>
        <v>0</v>
      </c>
      <c r="AK151">
        <f t="shared" si="81"/>
        <v>0</v>
      </c>
      <c r="AL151">
        <f t="shared" si="81"/>
        <v>0</v>
      </c>
      <c r="AM151">
        <f t="shared" si="81"/>
        <v>0</v>
      </c>
      <c r="AN151">
        <f t="shared" si="81"/>
        <v>0</v>
      </c>
      <c r="AO151">
        <f t="shared" si="81"/>
        <v>0</v>
      </c>
      <c r="AP151">
        <f t="shared" si="81"/>
        <v>0</v>
      </c>
      <c r="AQ151">
        <f t="shared" si="81"/>
        <v>0</v>
      </c>
      <c r="AR151">
        <f t="shared" si="81"/>
        <v>0</v>
      </c>
      <c r="AS151">
        <f t="shared" si="81"/>
        <v>0</v>
      </c>
      <c r="AT151">
        <f t="shared" si="81"/>
        <v>0</v>
      </c>
      <c r="AU151">
        <f t="shared" si="81"/>
        <v>0</v>
      </c>
      <c r="AV151">
        <f t="shared" si="81"/>
        <v>0</v>
      </c>
      <c r="AW151">
        <f t="shared" si="81"/>
        <v>0</v>
      </c>
      <c r="AX151">
        <f t="shared" si="81"/>
        <v>0</v>
      </c>
      <c r="AY151">
        <f t="shared" si="81"/>
        <v>0</v>
      </c>
      <c r="AZ151">
        <f t="shared" si="81"/>
        <v>0</v>
      </c>
      <c r="BA151">
        <f t="shared" si="81"/>
        <v>0</v>
      </c>
      <c r="BB151">
        <f t="shared" si="81"/>
        <v>0</v>
      </c>
      <c r="BC151">
        <f t="shared" si="81"/>
        <v>0</v>
      </c>
      <c r="BE151">
        <f t="shared" si="78"/>
        <v>53</v>
      </c>
    </row>
    <row r="152" spans="2:57" ht="15.75"/>
    <row r="153" spans="2:57" ht="15.75">
      <c r="B153" s="8" t="s">
        <v>137</v>
      </c>
      <c r="C153">
        <f t="shared" ref="C153:D153" si="82">SUM(C154:C155)</f>
        <v>0</v>
      </c>
      <c r="D153">
        <f t="shared" si="82"/>
        <v>0</v>
      </c>
      <c r="E153">
        <f t="shared" ref="D153:BC154" si="83">SUM(E154:E155)</f>
        <v>0</v>
      </c>
      <c r="F153">
        <f t="shared" ref="F153:BC153" si="84">SUM(F154:F155)</f>
        <v>0</v>
      </c>
      <c r="G153">
        <f t="shared" si="84"/>
        <v>0</v>
      </c>
      <c r="H153">
        <f t="shared" si="84"/>
        <v>0</v>
      </c>
      <c r="I153">
        <f t="shared" si="84"/>
        <v>0</v>
      </c>
      <c r="J153">
        <f t="shared" si="84"/>
        <v>0</v>
      </c>
      <c r="K153">
        <f t="shared" si="84"/>
        <v>0</v>
      </c>
      <c r="L153">
        <f t="shared" si="84"/>
        <v>0</v>
      </c>
      <c r="M153">
        <f t="shared" si="84"/>
        <v>0</v>
      </c>
      <c r="N153">
        <f t="shared" si="84"/>
        <v>0</v>
      </c>
      <c r="O153">
        <f t="shared" si="84"/>
        <v>0</v>
      </c>
      <c r="P153">
        <f t="shared" si="84"/>
        <v>0</v>
      </c>
      <c r="Q153">
        <f t="shared" si="84"/>
        <v>0</v>
      </c>
      <c r="R153">
        <f t="shared" si="84"/>
        <v>0</v>
      </c>
      <c r="S153">
        <f t="shared" si="84"/>
        <v>0</v>
      </c>
      <c r="T153">
        <f t="shared" si="84"/>
        <v>0</v>
      </c>
      <c r="U153">
        <f t="shared" si="84"/>
        <v>0</v>
      </c>
      <c r="V153">
        <f t="shared" si="84"/>
        <v>0</v>
      </c>
      <c r="W153">
        <f t="shared" si="84"/>
        <v>0</v>
      </c>
      <c r="X153">
        <f t="shared" si="84"/>
        <v>0</v>
      </c>
      <c r="Y153">
        <f t="shared" si="84"/>
        <v>0</v>
      </c>
      <c r="Z153">
        <f t="shared" si="84"/>
        <v>0</v>
      </c>
      <c r="AA153">
        <f t="shared" si="84"/>
        <v>0</v>
      </c>
      <c r="AB153">
        <f t="shared" si="84"/>
        <v>0</v>
      </c>
      <c r="AC153">
        <f t="shared" si="84"/>
        <v>0</v>
      </c>
      <c r="AD153">
        <f t="shared" si="84"/>
        <v>0</v>
      </c>
      <c r="AE153">
        <f t="shared" si="84"/>
        <v>0</v>
      </c>
      <c r="AF153">
        <f t="shared" si="84"/>
        <v>0</v>
      </c>
      <c r="AG153">
        <f t="shared" si="84"/>
        <v>0</v>
      </c>
      <c r="AH153">
        <f t="shared" si="84"/>
        <v>0</v>
      </c>
      <c r="AI153">
        <f t="shared" si="84"/>
        <v>0</v>
      </c>
      <c r="AJ153">
        <f t="shared" si="84"/>
        <v>0</v>
      </c>
      <c r="AK153">
        <f t="shared" si="84"/>
        <v>0</v>
      </c>
      <c r="AL153">
        <f t="shared" si="84"/>
        <v>0</v>
      </c>
      <c r="AM153">
        <f t="shared" si="84"/>
        <v>0</v>
      </c>
      <c r="AN153">
        <f t="shared" si="84"/>
        <v>0</v>
      </c>
      <c r="AO153">
        <f t="shared" si="84"/>
        <v>0</v>
      </c>
      <c r="AP153">
        <f t="shared" si="84"/>
        <v>0</v>
      </c>
      <c r="AQ153">
        <f t="shared" si="84"/>
        <v>0</v>
      </c>
      <c r="AR153">
        <f t="shared" si="84"/>
        <v>0</v>
      </c>
      <c r="AS153">
        <f t="shared" si="84"/>
        <v>0</v>
      </c>
      <c r="AT153">
        <f t="shared" si="84"/>
        <v>0</v>
      </c>
      <c r="AU153">
        <f t="shared" si="84"/>
        <v>0</v>
      </c>
      <c r="AV153">
        <f t="shared" si="84"/>
        <v>0</v>
      </c>
      <c r="AW153">
        <f t="shared" si="84"/>
        <v>0</v>
      </c>
      <c r="AX153">
        <f t="shared" si="84"/>
        <v>0</v>
      </c>
      <c r="AY153">
        <f t="shared" si="84"/>
        <v>0</v>
      </c>
      <c r="AZ153">
        <f t="shared" si="84"/>
        <v>0</v>
      </c>
      <c r="BA153">
        <f t="shared" si="84"/>
        <v>0</v>
      </c>
      <c r="BB153">
        <f t="shared" si="84"/>
        <v>0</v>
      </c>
      <c r="BC153">
        <f t="shared" si="84"/>
        <v>0</v>
      </c>
    </row>
    <row r="154" spans="2:57" ht="15.75">
      <c r="B154" t="s">
        <v>169</v>
      </c>
      <c r="C154">
        <f t="shared" ref="C154:D154" si="85">COUNTIF(C4:C59, "rMICU1")</f>
        <v>0</v>
      </c>
      <c r="D154">
        <f t="shared" si="85"/>
        <v>0</v>
      </c>
      <c r="E154">
        <f t="shared" ref="E154:BC154" si="86">COUNTIF(E4:E59, "rMICU1")</f>
        <v>0</v>
      </c>
      <c r="F154">
        <f t="shared" ref="F154:BC154" si="87">COUNTIF(F4:F59, "rMICU1")</f>
        <v>0</v>
      </c>
      <c r="G154">
        <f t="shared" si="87"/>
        <v>0</v>
      </c>
      <c r="H154">
        <f t="shared" si="87"/>
        <v>0</v>
      </c>
      <c r="I154">
        <f t="shared" si="87"/>
        <v>0</v>
      </c>
      <c r="J154">
        <f t="shared" si="87"/>
        <v>0</v>
      </c>
      <c r="K154">
        <f t="shared" si="87"/>
        <v>0</v>
      </c>
      <c r="L154">
        <f t="shared" si="87"/>
        <v>0</v>
      </c>
      <c r="M154">
        <f t="shared" si="87"/>
        <v>0</v>
      </c>
      <c r="N154">
        <f t="shared" si="87"/>
        <v>0</v>
      </c>
      <c r="O154">
        <f t="shared" si="87"/>
        <v>0</v>
      </c>
      <c r="P154">
        <f t="shared" si="87"/>
        <v>0</v>
      </c>
      <c r="Q154">
        <f t="shared" si="87"/>
        <v>0</v>
      </c>
      <c r="R154">
        <f t="shared" si="87"/>
        <v>0</v>
      </c>
      <c r="S154">
        <f t="shared" si="87"/>
        <v>0</v>
      </c>
      <c r="T154">
        <f t="shared" si="87"/>
        <v>0</v>
      </c>
      <c r="U154">
        <f t="shared" si="87"/>
        <v>0</v>
      </c>
      <c r="V154">
        <f t="shared" si="87"/>
        <v>0</v>
      </c>
      <c r="W154">
        <f t="shared" si="87"/>
        <v>0</v>
      </c>
      <c r="X154">
        <f t="shared" si="87"/>
        <v>0</v>
      </c>
      <c r="Y154">
        <f t="shared" si="87"/>
        <v>0</v>
      </c>
      <c r="Z154">
        <f t="shared" si="87"/>
        <v>0</v>
      </c>
      <c r="AA154">
        <f t="shared" si="87"/>
        <v>0</v>
      </c>
      <c r="AB154">
        <f t="shared" si="87"/>
        <v>0</v>
      </c>
      <c r="AC154">
        <f t="shared" si="87"/>
        <v>0</v>
      </c>
      <c r="AD154">
        <f t="shared" si="87"/>
        <v>0</v>
      </c>
      <c r="AE154">
        <f t="shared" si="87"/>
        <v>0</v>
      </c>
      <c r="AF154">
        <f t="shared" si="87"/>
        <v>0</v>
      </c>
      <c r="AG154">
        <f t="shared" si="87"/>
        <v>0</v>
      </c>
      <c r="AH154">
        <f t="shared" si="87"/>
        <v>0</v>
      </c>
      <c r="AI154">
        <f t="shared" si="87"/>
        <v>0</v>
      </c>
      <c r="AJ154">
        <f t="shared" si="87"/>
        <v>0</v>
      </c>
      <c r="AK154">
        <f t="shared" si="87"/>
        <v>0</v>
      </c>
      <c r="AL154">
        <f t="shared" si="87"/>
        <v>0</v>
      </c>
      <c r="AM154">
        <f t="shared" si="87"/>
        <v>0</v>
      </c>
      <c r="AN154">
        <f t="shared" si="87"/>
        <v>0</v>
      </c>
      <c r="AO154">
        <f t="shared" si="87"/>
        <v>0</v>
      </c>
      <c r="AP154">
        <f t="shared" si="87"/>
        <v>0</v>
      </c>
      <c r="AQ154">
        <f t="shared" si="87"/>
        <v>0</v>
      </c>
      <c r="AR154">
        <f t="shared" si="87"/>
        <v>0</v>
      </c>
      <c r="AS154">
        <f t="shared" si="87"/>
        <v>0</v>
      </c>
      <c r="AT154">
        <f t="shared" si="87"/>
        <v>0</v>
      </c>
      <c r="AU154">
        <f t="shared" si="87"/>
        <v>0</v>
      </c>
      <c r="AV154">
        <f t="shared" si="87"/>
        <v>0</v>
      </c>
      <c r="AW154">
        <f t="shared" si="87"/>
        <v>0</v>
      </c>
      <c r="AX154">
        <f t="shared" si="87"/>
        <v>0</v>
      </c>
      <c r="AY154">
        <f t="shared" si="87"/>
        <v>0</v>
      </c>
      <c r="AZ154">
        <f t="shared" si="87"/>
        <v>0</v>
      </c>
      <c r="BA154">
        <f t="shared" si="87"/>
        <v>0</v>
      </c>
      <c r="BB154">
        <f t="shared" si="87"/>
        <v>0</v>
      </c>
      <c r="BC154">
        <f t="shared" si="87"/>
        <v>0</v>
      </c>
      <c r="BE154">
        <f t="shared" ref="BE154:BE155" si="88">COUNTIF(C154:BC154, "0")</f>
        <v>53</v>
      </c>
    </row>
    <row r="155" spans="2:57" ht="15.75">
      <c r="B155" t="s">
        <v>170</v>
      </c>
      <c r="C155">
        <f t="shared" ref="C155:D155" si="89">COUNTIF(C4:C59, "bron2")</f>
        <v>0</v>
      </c>
      <c r="D155">
        <f t="shared" si="89"/>
        <v>0</v>
      </c>
      <c r="E155">
        <f t="shared" ref="E155:BC155" si="90">COUNTIF(E4:E59, "bron2")</f>
        <v>0</v>
      </c>
      <c r="F155">
        <f t="shared" ref="F155:BC155" si="91">COUNTIF(F4:F59, "bron2")</f>
        <v>0</v>
      </c>
      <c r="G155">
        <f t="shared" si="91"/>
        <v>0</v>
      </c>
      <c r="H155">
        <f t="shared" si="91"/>
        <v>0</v>
      </c>
      <c r="I155">
        <f t="shared" si="91"/>
        <v>0</v>
      </c>
      <c r="J155">
        <f t="shared" si="91"/>
        <v>0</v>
      </c>
      <c r="K155">
        <f t="shared" si="91"/>
        <v>0</v>
      </c>
      <c r="L155">
        <f t="shared" si="91"/>
        <v>0</v>
      </c>
      <c r="M155">
        <f t="shared" si="91"/>
        <v>0</v>
      </c>
      <c r="N155">
        <f t="shared" si="91"/>
        <v>0</v>
      </c>
      <c r="O155">
        <f t="shared" si="91"/>
        <v>0</v>
      </c>
      <c r="P155">
        <f t="shared" si="91"/>
        <v>0</v>
      </c>
      <c r="Q155">
        <f t="shared" si="91"/>
        <v>0</v>
      </c>
      <c r="R155">
        <f t="shared" si="91"/>
        <v>0</v>
      </c>
      <c r="S155">
        <f t="shared" si="91"/>
        <v>0</v>
      </c>
      <c r="T155">
        <f t="shared" si="91"/>
        <v>0</v>
      </c>
      <c r="U155">
        <f t="shared" si="91"/>
        <v>0</v>
      </c>
      <c r="V155">
        <f t="shared" si="91"/>
        <v>0</v>
      </c>
      <c r="W155">
        <f t="shared" si="91"/>
        <v>0</v>
      </c>
      <c r="X155">
        <f t="shared" si="91"/>
        <v>0</v>
      </c>
      <c r="Y155">
        <f t="shared" si="91"/>
        <v>0</v>
      </c>
      <c r="Z155">
        <f t="shared" si="91"/>
        <v>0</v>
      </c>
      <c r="AA155">
        <f t="shared" si="91"/>
        <v>0</v>
      </c>
      <c r="AB155">
        <f t="shared" si="91"/>
        <v>0</v>
      </c>
      <c r="AC155">
        <f t="shared" si="91"/>
        <v>0</v>
      </c>
      <c r="AD155">
        <f t="shared" si="91"/>
        <v>0</v>
      </c>
      <c r="AE155">
        <f t="shared" si="91"/>
        <v>0</v>
      </c>
      <c r="AF155">
        <f t="shared" si="91"/>
        <v>0</v>
      </c>
      <c r="AG155">
        <f t="shared" si="91"/>
        <v>0</v>
      </c>
      <c r="AH155">
        <f t="shared" si="91"/>
        <v>0</v>
      </c>
      <c r="AI155">
        <f t="shared" si="91"/>
        <v>0</v>
      </c>
      <c r="AJ155">
        <f t="shared" si="91"/>
        <v>0</v>
      </c>
      <c r="AK155">
        <f t="shared" si="91"/>
        <v>0</v>
      </c>
      <c r="AL155">
        <f t="shared" si="91"/>
        <v>0</v>
      </c>
      <c r="AM155">
        <f t="shared" si="91"/>
        <v>0</v>
      </c>
      <c r="AN155">
        <f t="shared" si="91"/>
        <v>0</v>
      </c>
      <c r="AO155">
        <f t="shared" si="91"/>
        <v>0</v>
      </c>
      <c r="AP155">
        <f t="shared" si="91"/>
        <v>0</v>
      </c>
      <c r="AQ155">
        <f t="shared" si="91"/>
        <v>0</v>
      </c>
      <c r="AR155">
        <f t="shared" si="91"/>
        <v>0</v>
      </c>
      <c r="AS155">
        <f t="shared" si="91"/>
        <v>0</v>
      </c>
      <c r="AT155">
        <f t="shared" si="91"/>
        <v>0</v>
      </c>
      <c r="AU155">
        <f t="shared" si="91"/>
        <v>0</v>
      </c>
      <c r="AV155">
        <f t="shared" si="91"/>
        <v>0</v>
      </c>
      <c r="AW155">
        <f t="shared" si="91"/>
        <v>0</v>
      </c>
      <c r="AX155">
        <f t="shared" si="91"/>
        <v>0</v>
      </c>
      <c r="AY155">
        <f t="shared" si="91"/>
        <v>0</v>
      </c>
      <c r="AZ155">
        <f t="shared" si="91"/>
        <v>0</v>
      </c>
      <c r="BA155">
        <f t="shared" si="91"/>
        <v>0</v>
      </c>
      <c r="BB155">
        <f t="shared" si="91"/>
        <v>0</v>
      </c>
      <c r="BC155">
        <f t="shared" si="91"/>
        <v>0</v>
      </c>
      <c r="BE155">
        <f t="shared" si="88"/>
        <v>53</v>
      </c>
    </row>
    <row r="156" spans="2:57" ht="15.75"/>
    <row r="157" spans="2:57" ht="15.75">
      <c r="B157" s="8" t="s">
        <v>171</v>
      </c>
      <c r="C157">
        <f t="shared" ref="C157:D157" si="92">COUNTIF(C4:C59, "diamond")</f>
        <v>0</v>
      </c>
      <c r="D157">
        <f t="shared" si="92"/>
        <v>0</v>
      </c>
      <c r="E157">
        <f t="shared" ref="E157:BC157" si="93">COUNTIF(E4:E59, "diamond")</f>
        <v>0</v>
      </c>
      <c r="F157">
        <f t="shared" ref="F157:BC157" si="94">COUNTIF(F4:F59, "diamond")</f>
        <v>0</v>
      </c>
      <c r="G157">
        <f t="shared" si="94"/>
        <v>0</v>
      </c>
      <c r="H157">
        <f t="shared" si="94"/>
        <v>0</v>
      </c>
      <c r="I157">
        <f t="shared" si="94"/>
        <v>0</v>
      </c>
      <c r="J157">
        <f t="shared" si="94"/>
        <v>0</v>
      </c>
      <c r="K157">
        <f t="shared" si="94"/>
        <v>0</v>
      </c>
      <c r="L157">
        <f t="shared" si="94"/>
        <v>0</v>
      </c>
      <c r="M157">
        <f t="shared" si="94"/>
        <v>0</v>
      </c>
      <c r="N157">
        <f t="shared" si="94"/>
        <v>0</v>
      </c>
      <c r="O157">
        <f t="shared" si="94"/>
        <v>0</v>
      </c>
      <c r="P157">
        <f t="shared" si="94"/>
        <v>0</v>
      </c>
      <c r="Q157">
        <f t="shared" si="94"/>
        <v>0</v>
      </c>
      <c r="R157">
        <f t="shared" si="94"/>
        <v>0</v>
      </c>
      <c r="S157">
        <f t="shared" si="94"/>
        <v>0</v>
      </c>
      <c r="T157">
        <f t="shared" si="94"/>
        <v>0</v>
      </c>
      <c r="U157">
        <f t="shared" si="94"/>
        <v>0</v>
      </c>
      <c r="V157">
        <f t="shared" si="94"/>
        <v>0</v>
      </c>
      <c r="W157">
        <f t="shared" si="94"/>
        <v>0</v>
      </c>
      <c r="X157">
        <f t="shared" si="94"/>
        <v>0</v>
      </c>
      <c r="Y157">
        <f t="shared" si="94"/>
        <v>0</v>
      </c>
      <c r="Z157">
        <f t="shared" si="94"/>
        <v>0</v>
      </c>
      <c r="AA157">
        <f t="shared" si="94"/>
        <v>0</v>
      </c>
      <c r="AB157">
        <f t="shared" si="94"/>
        <v>0</v>
      </c>
      <c r="AC157">
        <f t="shared" si="94"/>
        <v>0</v>
      </c>
      <c r="AD157">
        <f t="shared" si="94"/>
        <v>0</v>
      </c>
      <c r="AE157">
        <f t="shared" si="94"/>
        <v>0</v>
      </c>
      <c r="AF157">
        <f t="shared" si="94"/>
        <v>0</v>
      </c>
      <c r="AG157">
        <f t="shared" si="94"/>
        <v>0</v>
      </c>
      <c r="AH157">
        <f t="shared" si="94"/>
        <v>0</v>
      </c>
      <c r="AI157">
        <f t="shared" si="94"/>
        <v>0</v>
      </c>
      <c r="AJ157">
        <f t="shared" si="94"/>
        <v>0</v>
      </c>
      <c r="AK157">
        <f t="shared" si="94"/>
        <v>0</v>
      </c>
      <c r="AL157">
        <f t="shared" si="94"/>
        <v>0</v>
      </c>
      <c r="AM157">
        <f t="shared" si="94"/>
        <v>0</v>
      </c>
      <c r="AN157">
        <f t="shared" si="94"/>
        <v>0</v>
      </c>
      <c r="AO157">
        <f t="shared" si="94"/>
        <v>0</v>
      </c>
      <c r="AP157">
        <f t="shared" si="94"/>
        <v>0</v>
      </c>
      <c r="AQ157">
        <f t="shared" si="94"/>
        <v>0</v>
      </c>
      <c r="AR157">
        <f t="shared" si="94"/>
        <v>0</v>
      </c>
      <c r="AS157">
        <f t="shared" si="94"/>
        <v>0</v>
      </c>
      <c r="AT157">
        <f t="shared" si="94"/>
        <v>0</v>
      </c>
      <c r="AU157">
        <f t="shared" si="94"/>
        <v>0</v>
      </c>
      <c r="AV157">
        <f t="shared" si="94"/>
        <v>0</v>
      </c>
      <c r="AW157">
        <f t="shared" si="94"/>
        <v>0</v>
      </c>
      <c r="AX157">
        <f t="shared" si="94"/>
        <v>0</v>
      </c>
      <c r="AY157">
        <f t="shared" si="94"/>
        <v>0</v>
      </c>
      <c r="AZ157">
        <f t="shared" si="94"/>
        <v>0</v>
      </c>
      <c r="BA157">
        <f t="shared" si="94"/>
        <v>0</v>
      </c>
      <c r="BB157">
        <f t="shared" si="94"/>
        <v>0</v>
      </c>
      <c r="BC157">
        <f t="shared" si="94"/>
        <v>0</v>
      </c>
      <c r="BE157">
        <f t="shared" ref="BE157:BE158" si="95">COUNTIF(C157:BC157, "0")</f>
        <v>53</v>
      </c>
    </row>
    <row r="158" spans="2:57" ht="15.75">
      <c r="B158" s="8" t="s">
        <v>172</v>
      </c>
      <c r="C158">
        <f t="shared" ref="C158:D158" si="96">COUNTIF(C4:C59, "gold")</f>
        <v>0</v>
      </c>
      <c r="D158">
        <f t="shared" si="96"/>
        <v>0</v>
      </c>
      <c r="E158">
        <f t="shared" ref="E158:BC158" si="97">COUNTIF(E4:E59, "gold")</f>
        <v>0</v>
      </c>
      <c r="F158">
        <f t="shared" ref="F158:BC158" si="98">COUNTIF(F4:F59, "gold")</f>
        <v>0</v>
      </c>
      <c r="G158">
        <f t="shared" si="98"/>
        <v>0</v>
      </c>
      <c r="H158">
        <f t="shared" si="98"/>
        <v>0</v>
      </c>
      <c r="I158">
        <f t="shared" si="98"/>
        <v>0</v>
      </c>
      <c r="J158">
        <f t="shared" si="98"/>
        <v>0</v>
      </c>
      <c r="K158">
        <f t="shared" si="98"/>
        <v>0</v>
      </c>
      <c r="L158">
        <f t="shared" si="98"/>
        <v>0</v>
      </c>
      <c r="M158">
        <f t="shared" si="98"/>
        <v>0</v>
      </c>
      <c r="N158">
        <f t="shared" si="98"/>
        <v>0</v>
      </c>
      <c r="O158">
        <f t="shared" si="98"/>
        <v>0</v>
      </c>
      <c r="P158">
        <f t="shared" si="98"/>
        <v>0</v>
      </c>
      <c r="Q158">
        <f t="shared" si="98"/>
        <v>0</v>
      </c>
      <c r="R158">
        <f t="shared" si="98"/>
        <v>0</v>
      </c>
      <c r="S158">
        <f t="shared" si="98"/>
        <v>0</v>
      </c>
      <c r="T158">
        <f t="shared" si="98"/>
        <v>0</v>
      </c>
      <c r="U158">
        <f t="shared" si="98"/>
        <v>0</v>
      </c>
      <c r="V158">
        <f t="shared" si="98"/>
        <v>0</v>
      </c>
      <c r="W158">
        <f t="shared" si="98"/>
        <v>0</v>
      </c>
      <c r="X158">
        <f t="shared" si="98"/>
        <v>0</v>
      </c>
      <c r="Y158">
        <f t="shared" si="98"/>
        <v>0</v>
      </c>
      <c r="Z158">
        <f t="shared" si="98"/>
        <v>0</v>
      </c>
      <c r="AA158">
        <f t="shared" si="98"/>
        <v>0</v>
      </c>
      <c r="AB158">
        <f t="shared" si="98"/>
        <v>0</v>
      </c>
      <c r="AC158">
        <f t="shared" si="98"/>
        <v>0</v>
      </c>
      <c r="AD158">
        <f t="shared" si="98"/>
        <v>0</v>
      </c>
      <c r="AE158">
        <f t="shared" si="98"/>
        <v>0</v>
      </c>
      <c r="AF158">
        <f t="shared" si="98"/>
        <v>0</v>
      </c>
      <c r="AG158">
        <f t="shared" si="98"/>
        <v>0</v>
      </c>
      <c r="AH158">
        <f t="shared" si="98"/>
        <v>0</v>
      </c>
      <c r="AI158">
        <f t="shared" si="98"/>
        <v>0</v>
      </c>
      <c r="AJ158">
        <f t="shared" si="98"/>
        <v>0</v>
      </c>
      <c r="AK158">
        <f t="shared" si="98"/>
        <v>0</v>
      </c>
      <c r="AL158">
        <f t="shared" si="98"/>
        <v>0</v>
      </c>
      <c r="AM158">
        <f t="shared" si="98"/>
        <v>0</v>
      </c>
      <c r="AN158">
        <f t="shared" si="98"/>
        <v>0</v>
      </c>
      <c r="AO158">
        <f t="shared" si="98"/>
        <v>0</v>
      </c>
      <c r="AP158">
        <f t="shared" si="98"/>
        <v>0</v>
      </c>
      <c r="AQ158">
        <f t="shared" si="98"/>
        <v>0</v>
      </c>
      <c r="AR158">
        <f t="shared" si="98"/>
        <v>0</v>
      </c>
      <c r="AS158">
        <f t="shared" si="98"/>
        <v>0</v>
      </c>
      <c r="AT158">
        <f t="shared" si="98"/>
        <v>0</v>
      </c>
      <c r="AU158">
        <f t="shared" si="98"/>
        <v>0</v>
      </c>
      <c r="AV158">
        <f t="shared" si="98"/>
        <v>0</v>
      </c>
      <c r="AW158">
        <f t="shared" si="98"/>
        <v>0</v>
      </c>
      <c r="AX158">
        <f t="shared" si="98"/>
        <v>0</v>
      </c>
      <c r="AY158">
        <f t="shared" si="98"/>
        <v>0</v>
      </c>
      <c r="AZ158">
        <f t="shared" si="98"/>
        <v>0</v>
      </c>
      <c r="BA158">
        <f t="shared" si="98"/>
        <v>0</v>
      </c>
      <c r="BB158">
        <f t="shared" si="98"/>
        <v>0</v>
      </c>
      <c r="BC158">
        <f t="shared" si="98"/>
        <v>0</v>
      </c>
      <c r="BE158">
        <f t="shared" si="95"/>
        <v>53</v>
      </c>
    </row>
    <row r="159" spans="2:57" ht="15.75"/>
    <row r="160" spans="2:57" ht="15.75">
      <c r="B160" s="8" t="s">
        <v>129</v>
      </c>
      <c r="C160">
        <f t="shared" ref="C160:D160" si="99">SUM(C161:C165)</f>
        <v>0</v>
      </c>
      <c r="D160">
        <f t="shared" si="99"/>
        <v>0</v>
      </c>
      <c r="E160">
        <f t="shared" ref="D160:BC161" si="100">SUM(E161:E165)</f>
        <v>0</v>
      </c>
      <c r="F160">
        <f t="shared" ref="F160:BC160" si="101">SUM(F161:F165)</f>
        <v>0</v>
      </c>
      <c r="G160">
        <f t="shared" si="101"/>
        <v>0</v>
      </c>
      <c r="H160">
        <f t="shared" si="101"/>
        <v>0</v>
      </c>
      <c r="I160">
        <f t="shared" si="101"/>
        <v>0</v>
      </c>
      <c r="J160">
        <f t="shared" si="101"/>
        <v>0</v>
      </c>
      <c r="K160">
        <f t="shared" si="101"/>
        <v>0</v>
      </c>
      <c r="L160">
        <f t="shared" si="101"/>
        <v>0</v>
      </c>
      <c r="M160">
        <f t="shared" si="101"/>
        <v>0</v>
      </c>
      <c r="N160">
        <f t="shared" si="101"/>
        <v>0</v>
      </c>
      <c r="O160">
        <f t="shared" si="101"/>
        <v>0</v>
      </c>
      <c r="P160">
        <f t="shared" si="101"/>
        <v>0</v>
      </c>
      <c r="Q160">
        <f t="shared" si="101"/>
        <v>0</v>
      </c>
      <c r="R160">
        <f t="shared" si="101"/>
        <v>0</v>
      </c>
      <c r="S160">
        <f t="shared" si="101"/>
        <v>0</v>
      </c>
      <c r="T160">
        <f t="shared" si="101"/>
        <v>0</v>
      </c>
      <c r="U160">
        <f t="shared" si="101"/>
        <v>0</v>
      </c>
      <c r="V160">
        <f t="shared" si="101"/>
        <v>0</v>
      </c>
      <c r="W160">
        <f t="shared" si="101"/>
        <v>0</v>
      </c>
      <c r="X160">
        <f t="shared" si="101"/>
        <v>0</v>
      </c>
      <c r="Y160">
        <f t="shared" si="101"/>
        <v>0</v>
      </c>
      <c r="Z160">
        <f t="shared" si="101"/>
        <v>0</v>
      </c>
      <c r="AA160">
        <f t="shared" si="101"/>
        <v>0</v>
      </c>
      <c r="AB160">
        <f t="shared" si="101"/>
        <v>0</v>
      </c>
      <c r="AC160">
        <f t="shared" si="101"/>
        <v>0</v>
      </c>
      <c r="AD160">
        <f t="shared" si="101"/>
        <v>0</v>
      </c>
      <c r="AE160">
        <f t="shared" si="101"/>
        <v>0</v>
      </c>
      <c r="AF160">
        <f t="shared" si="101"/>
        <v>0</v>
      </c>
      <c r="AG160">
        <f t="shared" si="101"/>
        <v>0</v>
      </c>
      <c r="AH160">
        <f t="shared" si="101"/>
        <v>0</v>
      </c>
      <c r="AI160">
        <f t="shared" si="101"/>
        <v>0</v>
      </c>
      <c r="AJ160">
        <f t="shared" si="101"/>
        <v>0</v>
      </c>
      <c r="AK160">
        <f t="shared" si="101"/>
        <v>0</v>
      </c>
      <c r="AL160">
        <f t="shared" si="101"/>
        <v>0</v>
      </c>
      <c r="AM160">
        <f t="shared" si="101"/>
        <v>0</v>
      </c>
      <c r="AN160">
        <f t="shared" si="101"/>
        <v>0</v>
      </c>
      <c r="AO160">
        <f t="shared" si="101"/>
        <v>0</v>
      </c>
      <c r="AP160">
        <f t="shared" si="101"/>
        <v>0</v>
      </c>
      <c r="AQ160">
        <f t="shared" si="101"/>
        <v>0</v>
      </c>
      <c r="AR160">
        <f t="shared" si="101"/>
        <v>0</v>
      </c>
      <c r="AS160">
        <f t="shared" si="101"/>
        <v>0</v>
      </c>
      <c r="AT160">
        <f t="shared" si="101"/>
        <v>0</v>
      </c>
      <c r="AU160">
        <f t="shared" si="101"/>
        <v>0</v>
      </c>
      <c r="AV160">
        <f t="shared" si="101"/>
        <v>0</v>
      </c>
      <c r="AW160">
        <f t="shared" si="101"/>
        <v>0</v>
      </c>
      <c r="AX160">
        <f t="shared" si="101"/>
        <v>0</v>
      </c>
      <c r="AY160">
        <f t="shared" si="101"/>
        <v>0</v>
      </c>
      <c r="AZ160">
        <f t="shared" si="101"/>
        <v>0</v>
      </c>
      <c r="BA160">
        <f t="shared" si="101"/>
        <v>0</v>
      </c>
      <c r="BB160">
        <f t="shared" si="101"/>
        <v>0</v>
      </c>
      <c r="BC160">
        <f t="shared" si="101"/>
        <v>0</v>
      </c>
    </row>
    <row r="161" spans="1:57" ht="15.75">
      <c r="B161" s="9" t="s">
        <v>173</v>
      </c>
      <c r="C161">
        <f t="shared" ref="C161:D161" si="102">COUNTIF(C4:C59, "rNF1")</f>
        <v>0</v>
      </c>
      <c r="D161">
        <f t="shared" si="102"/>
        <v>0</v>
      </c>
      <c r="E161">
        <f t="shared" ref="E161:BC161" si="103">COUNTIF(E4:E59, "rNF1")</f>
        <v>0</v>
      </c>
      <c r="F161">
        <f t="shared" ref="F161:BC161" si="104">COUNTIF(F4:F59, "rNF1")</f>
        <v>0</v>
      </c>
      <c r="G161">
        <f t="shared" si="104"/>
        <v>0</v>
      </c>
      <c r="H161">
        <f t="shared" si="104"/>
        <v>0</v>
      </c>
      <c r="I161">
        <f t="shared" si="104"/>
        <v>0</v>
      </c>
      <c r="J161">
        <f t="shared" si="104"/>
        <v>0</v>
      </c>
      <c r="K161">
        <f t="shared" si="104"/>
        <v>0</v>
      </c>
      <c r="L161">
        <f t="shared" si="104"/>
        <v>0</v>
      </c>
      <c r="M161">
        <f t="shared" si="104"/>
        <v>0</v>
      </c>
      <c r="N161">
        <f t="shared" si="104"/>
        <v>0</v>
      </c>
      <c r="O161">
        <f t="shared" si="104"/>
        <v>0</v>
      </c>
      <c r="P161">
        <f t="shared" si="104"/>
        <v>0</v>
      </c>
      <c r="Q161">
        <f t="shared" si="104"/>
        <v>0</v>
      </c>
      <c r="R161">
        <f t="shared" si="104"/>
        <v>0</v>
      </c>
      <c r="S161">
        <f t="shared" si="104"/>
        <v>0</v>
      </c>
      <c r="T161">
        <f t="shared" si="104"/>
        <v>0</v>
      </c>
      <c r="U161">
        <f t="shared" si="104"/>
        <v>0</v>
      </c>
      <c r="V161">
        <f t="shared" si="104"/>
        <v>0</v>
      </c>
      <c r="W161">
        <f t="shared" si="104"/>
        <v>0</v>
      </c>
      <c r="X161">
        <f t="shared" si="104"/>
        <v>0</v>
      </c>
      <c r="Y161">
        <f t="shared" si="104"/>
        <v>0</v>
      </c>
      <c r="Z161">
        <f t="shared" si="104"/>
        <v>0</v>
      </c>
      <c r="AA161">
        <f t="shared" si="104"/>
        <v>0</v>
      </c>
      <c r="AB161">
        <f t="shared" si="104"/>
        <v>0</v>
      </c>
      <c r="AC161">
        <f t="shared" si="104"/>
        <v>0</v>
      </c>
      <c r="AD161">
        <f t="shared" si="104"/>
        <v>0</v>
      </c>
      <c r="AE161">
        <f t="shared" si="104"/>
        <v>0</v>
      </c>
      <c r="AF161">
        <f t="shared" si="104"/>
        <v>0</v>
      </c>
      <c r="AG161">
        <f t="shared" si="104"/>
        <v>0</v>
      </c>
      <c r="AH161">
        <f t="shared" si="104"/>
        <v>0</v>
      </c>
      <c r="AI161">
        <f t="shared" si="104"/>
        <v>0</v>
      </c>
      <c r="AJ161">
        <f t="shared" si="104"/>
        <v>0</v>
      </c>
      <c r="AK161">
        <f t="shared" si="104"/>
        <v>0</v>
      </c>
      <c r="AL161">
        <f t="shared" si="104"/>
        <v>0</v>
      </c>
      <c r="AM161">
        <f t="shared" si="104"/>
        <v>0</v>
      </c>
      <c r="AN161">
        <f t="shared" si="104"/>
        <v>0</v>
      </c>
      <c r="AO161">
        <f t="shared" si="104"/>
        <v>0</v>
      </c>
      <c r="AP161">
        <f t="shared" si="104"/>
        <v>0</v>
      </c>
      <c r="AQ161">
        <f t="shared" si="104"/>
        <v>0</v>
      </c>
      <c r="AR161">
        <f t="shared" si="104"/>
        <v>0</v>
      </c>
      <c r="AS161">
        <f t="shared" si="104"/>
        <v>0</v>
      </c>
      <c r="AT161">
        <f t="shared" si="104"/>
        <v>0</v>
      </c>
      <c r="AU161">
        <f t="shared" si="104"/>
        <v>0</v>
      </c>
      <c r="AV161">
        <f t="shared" si="104"/>
        <v>0</v>
      </c>
      <c r="AW161">
        <f t="shared" si="104"/>
        <v>0</v>
      </c>
      <c r="AX161">
        <f t="shared" si="104"/>
        <v>0</v>
      </c>
      <c r="AY161">
        <f t="shared" si="104"/>
        <v>0</v>
      </c>
      <c r="AZ161">
        <f t="shared" si="104"/>
        <v>0</v>
      </c>
      <c r="BA161">
        <f t="shared" si="104"/>
        <v>0</v>
      </c>
      <c r="BB161">
        <f t="shared" si="104"/>
        <v>0</v>
      </c>
      <c r="BC161">
        <f t="shared" si="104"/>
        <v>0</v>
      </c>
      <c r="BE161">
        <f t="shared" ref="BE161:BE165" si="105">COUNTIF(C161:BC161, "0")</f>
        <v>53</v>
      </c>
    </row>
    <row r="162" spans="1:57" ht="15.75">
      <c r="B162" s="9" t="s">
        <v>174</v>
      </c>
      <c r="C162">
        <f t="shared" ref="C162:D162" si="106">COUNTIF(C4:C59, "rNF2")</f>
        <v>0</v>
      </c>
      <c r="D162">
        <f t="shared" si="106"/>
        <v>0</v>
      </c>
      <c r="E162">
        <f t="shared" ref="E162:BC162" si="107">COUNTIF(E4:E59, "rNF2")</f>
        <v>0</v>
      </c>
      <c r="F162">
        <f t="shared" ref="F162:BC162" si="108">COUNTIF(F4:F59, "rNF2")</f>
        <v>0</v>
      </c>
      <c r="G162">
        <f t="shared" si="108"/>
        <v>0</v>
      </c>
      <c r="H162">
        <f t="shared" si="108"/>
        <v>0</v>
      </c>
      <c r="I162">
        <f t="shared" si="108"/>
        <v>0</v>
      </c>
      <c r="J162">
        <f t="shared" si="108"/>
        <v>0</v>
      </c>
      <c r="K162">
        <f t="shared" si="108"/>
        <v>0</v>
      </c>
      <c r="L162">
        <f t="shared" si="108"/>
        <v>0</v>
      </c>
      <c r="M162">
        <f t="shared" si="108"/>
        <v>0</v>
      </c>
      <c r="N162">
        <f t="shared" si="108"/>
        <v>0</v>
      </c>
      <c r="O162">
        <f t="shared" si="108"/>
        <v>0</v>
      </c>
      <c r="P162">
        <f t="shared" si="108"/>
        <v>0</v>
      </c>
      <c r="Q162">
        <f t="shared" si="108"/>
        <v>0</v>
      </c>
      <c r="R162">
        <f t="shared" si="108"/>
        <v>0</v>
      </c>
      <c r="S162">
        <f t="shared" si="108"/>
        <v>0</v>
      </c>
      <c r="T162">
        <f t="shared" si="108"/>
        <v>0</v>
      </c>
      <c r="U162">
        <f t="shared" si="108"/>
        <v>0</v>
      </c>
      <c r="V162">
        <f t="shared" si="108"/>
        <v>0</v>
      </c>
      <c r="W162">
        <f t="shared" si="108"/>
        <v>0</v>
      </c>
      <c r="X162">
        <f t="shared" si="108"/>
        <v>0</v>
      </c>
      <c r="Y162">
        <f t="shared" si="108"/>
        <v>0</v>
      </c>
      <c r="Z162">
        <f t="shared" si="108"/>
        <v>0</v>
      </c>
      <c r="AA162">
        <f t="shared" si="108"/>
        <v>0</v>
      </c>
      <c r="AB162">
        <f t="shared" si="108"/>
        <v>0</v>
      </c>
      <c r="AC162">
        <f t="shared" si="108"/>
        <v>0</v>
      </c>
      <c r="AD162">
        <f t="shared" si="108"/>
        <v>0</v>
      </c>
      <c r="AE162">
        <f t="shared" si="108"/>
        <v>0</v>
      </c>
      <c r="AF162">
        <f t="shared" si="108"/>
        <v>0</v>
      </c>
      <c r="AG162">
        <f t="shared" si="108"/>
        <v>0</v>
      </c>
      <c r="AH162">
        <f t="shared" si="108"/>
        <v>0</v>
      </c>
      <c r="AI162">
        <f t="shared" si="108"/>
        <v>0</v>
      </c>
      <c r="AJ162">
        <f t="shared" si="108"/>
        <v>0</v>
      </c>
      <c r="AK162">
        <f t="shared" si="108"/>
        <v>0</v>
      </c>
      <c r="AL162">
        <f t="shared" si="108"/>
        <v>0</v>
      </c>
      <c r="AM162">
        <f t="shared" si="108"/>
        <v>0</v>
      </c>
      <c r="AN162">
        <f t="shared" si="108"/>
        <v>0</v>
      </c>
      <c r="AO162">
        <f t="shared" si="108"/>
        <v>0</v>
      </c>
      <c r="AP162">
        <f t="shared" si="108"/>
        <v>0</v>
      </c>
      <c r="AQ162">
        <f t="shared" si="108"/>
        <v>0</v>
      </c>
      <c r="AR162">
        <f t="shared" si="108"/>
        <v>0</v>
      </c>
      <c r="AS162">
        <f t="shared" si="108"/>
        <v>0</v>
      </c>
      <c r="AT162">
        <f t="shared" si="108"/>
        <v>0</v>
      </c>
      <c r="AU162">
        <f t="shared" si="108"/>
        <v>0</v>
      </c>
      <c r="AV162">
        <f t="shared" si="108"/>
        <v>0</v>
      </c>
      <c r="AW162">
        <f t="shared" si="108"/>
        <v>0</v>
      </c>
      <c r="AX162">
        <f t="shared" si="108"/>
        <v>0</v>
      </c>
      <c r="AY162">
        <f t="shared" si="108"/>
        <v>0</v>
      </c>
      <c r="AZ162">
        <f t="shared" si="108"/>
        <v>0</v>
      </c>
      <c r="BA162">
        <f t="shared" si="108"/>
        <v>0</v>
      </c>
      <c r="BB162">
        <f t="shared" si="108"/>
        <v>0</v>
      </c>
      <c r="BC162">
        <f t="shared" si="108"/>
        <v>0</v>
      </c>
      <c r="BE162">
        <f t="shared" si="105"/>
        <v>53</v>
      </c>
    </row>
    <row r="163" spans="1:57" ht="15.75">
      <c r="B163" s="9" t="s">
        <v>175</v>
      </c>
      <c r="C163">
        <f t="shared" ref="C163:D163" si="109">COUNTIF(C4:C59, "rNF3")</f>
        <v>0</v>
      </c>
      <c r="D163">
        <f t="shared" si="109"/>
        <v>0</v>
      </c>
      <c r="E163">
        <f t="shared" ref="E163:BC163" si="110">COUNTIF(E4:E59, "rNF3")</f>
        <v>0</v>
      </c>
      <c r="F163">
        <f t="shared" ref="F163:BC163" si="111">COUNTIF(F4:F59, "rNF3")</f>
        <v>0</v>
      </c>
      <c r="G163">
        <f t="shared" si="111"/>
        <v>0</v>
      </c>
      <c r="H163">
        <f t="shared" si="111"/>
        <v>0</v>
      </c>
      <c r="I163">
        <f t="shared" si="111"/>
        <v>0</v>
      </c>
      <c r="J163">
        <f t="shared" si="111"/>
        <v>0</v>
      </c>
      <c r="K163">
        <f t="shared" si="111"/>
        <v>0</v>
      </c>
      <c r="L163">
        <f t="shared" si="111"/>
        <v>0</v>
      </c>
      <c r="M163">
        <f t="shared" si="111"/>
        <v>0</v>
      </c>
      <c r="N163">
        <f t="shared" si="111"/>
        <v>0</v>
      </c>
      <c r="O163">
        <f t="shared" si="111"/>
        <v>0</v>
      </c>
      <c r="P163">
        <f t="shared" si="111"/>
        <v>0</v>
      </c>
      <c r="Q163">
        <f t="shared" si="111"/>
        <v>0</v>
      </c>
      <c r="R163">
        <f t="shared" si="111"/>
        <v>0</v>
      </c>
      <c r="S163">
        <f t="shared" si="111"/>
        <v>0</v>
      </c>
      <c r="T163">
        <f t="shared" si="111"/>
        <v>0</v>
      </c>
      <c r="U163">
        <f t="shared" si="111"/>
        <v>0</v>
      </c>
      <c r="V163">
        <f t="shared" si="111"/>
        <v>0</v>
      </c>
      <c r="W163">
        <f t="shared" si="111"/>
        <v>0</v>
      </c>
      <c r="X163">
        <f t="shared" si="111"/>
        <v>0</v>
      </c>
      <c r="Y163">
        <f t="shared" si="111"/>
        <v>0</v>
      </c>
      <c r="Z163">
        <f t="shared" si="111"/>
        <v>0</v>
      </c>
      <c r="AA163">
        <f t="shared" si="111"/>
        <v>0</v>
      </c>
      <c r="AB163">
        <f t="shared" si="111"/>
        <v>0</v>
      </c>
      <c r="AC163">
        <f t="shared" si="111"/>
        <v>0</v>
      </c>
      <c r="AD163">
        <f t="shared" si="111"/>
        <v>0</v>
      </c>
      <c r="AE163">
        <f t="shared" si="111"/>
        <v>0</v>
      </c>
      <c r="AF163">
        <f t="shared" si="111"/>
        <v>0</v>
      </c>
      <c r="AG163">
        <f t="shared" si="111"/>
        <v>0</v>
      </c>
      <c r="AH163">
        <f t="shared" si="111"/>
        <v>0</v>
      </c>
      <c r="AI163">
        <f t="shared" si="111"/>
        <v>0</v>
      </c>
      <c r="AJ163">
        <f t="shared" si="111"/>
        <v>0</v>
      </c>
      <c r="AK163">
        <f t="shared" si="111"/>
        <v>0</v>
      </c>
      <c r="AL163">
        <f t="shared" si="111"/>
        <v>0</v>
      </c>
      <c r="AM163">
        <f t="shared" si="111"/>
        <v>0</v>
      </c>
      <c r="AN163">
        <f t="shared" si="111"/>
        <v>0</v>
      </c>
      <c r="AO163">
        <f t="shared" si="111"/>
        <v>0</v>
      </c>
      <c r="AP163">
        <f t="shared" si="111"/>
        <v>0</v>
      </c>
      <c r="AQ163">
        <f t="shared" si="111"/>
        <v>0</v>
      </c>
      <c r="AR163">
        <f t="shared" si="111"/>
        <v>0</v>
      </c>
      <c r="AS163">
        <f t="shared" si="111"/>
        <v>0</v>
      </c>
      <c r="AT163">
        <f t="shared" si="111"/>
        <v>0</v>
      </c>
      <c r="AU163">
        <f t="shared" si="111"/>
        <v>0</v>
      </c>
      <c r="AV163">
        <f t="shared" si="111"/>
        <v>0</v>
      </c>
      <c r="AW163">
        <f t="shared" si="111"/>
        <v>0</v>
      </c>
      <c r="AX163">
        <f t="shared" si="111"/>
        <v>0</v>
      </c>
      <c r="AY163">
        <f t="shared" si="111"/>
        <v>0</v>
      </c>
      <c r="AZ163">
        <f t="shared" si="111"/>
        <v>0</v>
      </c>
      <c r="BA163">
        <f t="shared" si="111"/>
        <v>0</v>
      </c>
      <c r="BB163">
        <f t="shared" si="111"/>
        <v>0</v>
      </c>
      <c r="BC163">
        <f t="shared" si="111"/>
        <v>0</v>
      </c>
      <c r="BE163">
        <f t="shared" si="105"/>
        <v>53</v>
      </c>
    </row>
    <row r="164" spans="1:57" ht="15.75">
      <c r="B164" s="9" t="s">
        <v>176</v>
      </c>
      <c r="C164">
        <f t="shared" ref="C164:D164" si="112">COUNTIF(C4:C59, "rNF4")</f>
        <v>0</v>
      </c>
      <c r="D164">
        <f t="shared" si="112"/>
        <v>0</v>
      </c>
      <c r="E164">
        <f t="shared" ref="E164:BC164" si="113">COUNTIF(E4:E59, "rNF4")</f>
        <v>0</v>
      </c>
      <c r="F164">
        <f t="shared" ref="F164:BC164" si="114">COUNTIF(F4:F59, "rNF4")</f>
        <v>0</v>
      </c>
      <c r="G164">
        <f t="shared" si="114"/>
        <v>0</v>
      </c>
      <c r="H164">
        <f t="shared" si="114"/>
        <v>0</v>
      </c>
      <c r="I164">
        <f t="shared" si="114"/>
        <v>0</v>
      </c>
      <c r="J164">
        <f t="shared" si="114"/>
        <v>0</v>
      </c>
      <c r="K164">
        <f t="shared" si="114"/>
        <v>0</v>
      </c>
      <c r="L164">
        <f t="shared" si="114"/>
        <v>0</v>
      </c>
      <c r="M164">
        <f t="shared" si="114"/>
        <v>0</v>
      </c>
      <c r="N164">
        <f t="shared" si="114"/>
        <v>0</v>
      </c>
      <c r="O164">
        <f t="shared" si="114"/>
        <v>0</v>
      </c>
      <c r="P164">
        <f t="shared" si="114"/>
        <v>0</v>
      </c>
      <c r="Q164">
        <f t="shared" si="114"/>
        <v>0</v>
      </c>
      <c r="R164">
        <f t="shared" si="114"/>
        <v>0</v>
      </c>
      <c r="S164">
        <f t="shared" si="114"/>
        <v>0</v>
      </c>
      <c r="T164">
        <f t="shared" si="114"/>
        <v>0</v>
      </c>
      <c r="U164">
        <f t="shared" si="114"/>
        <v>0</v>
      </c>
      <c r="V164">
        <f t="shared" si="114"/>
        <v>0</v>
      </c>
      <c r="W164">
        <f t="shared" si="114"/>
        <v>0</v>
      </c>
      <c r="X164">
        <f t="shared" si="114"/>
        <v>0</v>
      </c>
      <c r="Y164">
        <f t="shared" si="114"/>
        <v>0</v>
      </c>
      <c r="Z164">
        <f t="shared" si="114"/>
        <v>0</v>
      </c>
      <c r="AA164">
        <f t="shared" si="114"/>
        <v>0</v>
      </c>
      <c r="AB164">
        <f t="shared" si="114"/>
        <v>0</v>
      </c>
      <c r="AC164">
        <f t="shared" si="114"/>
        <v>0</v>
      </c>
      <c r="AD164">
        <f t="shared" si="114"/>
        <v>0</v>
      </c>
      <c r="AE164">
        <f t="shared" si="114"/>
        <v>0</v>
      </c>
      <c r="AF164">
        <f t="shared" si="114"/>
        <v>0</v>
      </c>
      <c r="AG164">
        <f t="shared" si="114"/>
        <v>0</v>
      </c>
      <c r="AH164">
        <f t="shared" si="114"/>
        <v>0</v>
      </c>
      <c r="AI164">
        <f t="shared" si="114"/>
        <v>0</v>
      </c>
      <c r="AJ164">
        <f t="shared" si="114"/>
        <v>0</v>
      </c>
      <c r="AK164">
        <f t="shared" si="114"/>
        <v>0</v>
      </c>
      <c r="AL164">
        <f t="shared" si="114"/>
        <v>0</v>
      </c>
      <c r="AM164">
        <f t="shared" si="114"/>
        <v>0</v>
      </c>
      <c r="AN164">
        <f t="shared" si="114"/>
        <v>0</v>
      </c>
      <c r="AO164">
        <f t="shared" si="114"/>
        <v>0</v>
      </c>
      <c r="AP164">
        <f t="shared" si="114"/>
        <v>0</v>
      </c>
      <c r="AQ164">
        <f t="shared" si="114"/>
        <v>0</v>
      </c>
      <c r="AR164">
        <f t="shared" si="114"/>
        <v>0</v>
      </c>
      <c r="AS164">
        <f t="shared" si="114"/>
        <v>0</v>
      </c>
      <c r="AT164">
        <f t="shared" si="114"/>
        <v>0</v>
      </c>
      <c r="AU164">
        <f t="shared" si="114"/>
        <v>0</v>
      </c>
      <c r="AV164">
        <f t="shared" si="114"/>
        <v>0</v>
      </c>
      <c r="AW164">
        <f t="shared" si="114"/>
        <v>0</v>
      </c>
      <c r="AX164">
        <f t="shared" si="114"/>
        <v>0</v>
      </c>
      <c r="AY164">
        <f t="shared" si="114"/>
        <v>0</v>
      </c>
      <c r="AZ164">
        <f t="shared" si="114"/>
        <v>0</v>
      </c>
      <c r="BA164">
        <f t="shared" si="114"/>
        <v>0</v>
      </c>
      <c r="BB164">
        <f t="shared" si="114"/>
        <v>0</v>
      </c>
      <c r="BC164">
        <f t="shared" si="114"/>
        <v>0</v>
      </c>
      <c r="BE164">
        <f t="shared" si="105"/>
        <v>53</v>
      </c>
    </row>
    <row r="165" spans="1:57" ht="15.75">
      <c r="B165" s="9" t="s">
        <v>177</v>
      </c>
      <c r="C165">
        <f t="shared" ref="C165:D165" si="115">COUNTIF(C4:C59, "rNF5")</f>
        <v>0</v>
      </c>
      <c r="D165">
        <f t="shared" si="115"/>
        <v>0</v>
      </c>
      <c r="E165">
        <f t="shared" ref="E165:BC165" si="116">COUNTIF(E4:E59, "rNF5")</f>
        <v>0</v>
      </c>
      <c r="F165">
        <f t="shared" ref="F165:BC165" si="117">COUNTIF(F4:F59, "rNF5")</f>
        <v>0</v>
      </c>
      <c r="G165">
        <f t="shared" si="117"/>
        <v>0</v>
      </c>
      <c r="H165">
        <f t="shared" si="117"/>
        <v>0</v>
      </c>
      <c r="I165">
        <f t="shared" si="117"/>
        <v>0</v>
      </c>
      <c r="J165">
        <f t="shared" si="117"/>
        <v>0</v>
      </c>
      <c r="K165">
        <f t="shared" si="117"/>
        <v>0</v>
      </c>
      <c r="L165">
        <f t="shared" si="117"/>
        <v>0</v>
      </c>
      <c r="M165">
        <f t="shared" si="117"/>
        <v>0</v>
      </c>
      <c r="N165">
        <f t="shared" si="117"/>
        <v>0</v>
      </c>
      <c r="O165">
        <f t="shared" si="117"/>
        <v>0</v>
      </c>
      <c r="P165">
        <f t="shared" si="117"/>
        <v>0</v>
      </c>
      <c r="Q165">
        <f t="shared" si="117"/>
        <v>0</v>
      </c>
      <c r="R165">
        <f t="shared" si="117"/>
        <v>0</v>
      </c>
      <c r="S165">
        <f t="shared" si="117"/>
        <v>0</v>
      </c>
      <c r="T165">
        <f t="shared" si="117"/>
        <v>0</v>
      </c>
      <c r="U165">
        <f t="shared" si="117"/>
        <v>0</v>
      </c>
      <c r="V165">
        <f t="shared" si="117"/>
        <v>0</v>
      </c>
      <c r="W165">
        <f t="shared" si="117"/>
        <v>0</v>
      </c>
      <c r="X165">
        <f t="shared" si="117"/>
        <v>0</v>
      </c>
      <c r="Y165">
        <f t="shared" si="117"/>
        <v>0</v>
      </c>
      <c r="Z165">
        <f t="shared" si="117"/>
        <v>0</v>
      </c>
      <c r="AA165">
        <f t="shared" si="117"/>
        <v>0</v>
      </c>
      <c r="AB165">
        <f t="shared" si="117"/>
        <v>0</v>
      </c>
      <c r="AC165">
        <f t="shared" si="117"/>
        <v>0</v>
      </c>
      <c r="AD165">
        <f t="shared" si="117"/>
        <v>0</v>
      </c>
      <c r="AE165">
        <f t="shared" si="117"/>
        <v>0</v>
      </c>
      <c r="AF165">
        <f t="shared" si="117"/>
        <v>0</v>
      </c>
      <c r="AG165">
        <f t="shared" si="117"/>
        <v>0</v>
      </c>
      <c r="AH165">
        <f t="shared" si="117"/>
        <v>0</v>
      </c>
      <c r="AI165">
        <f t="shared" si="117"/>
        <v>0</v>
      </c>
      <c r="AJ165">
        <f t="shared" si="117"/>
        <v>0</v>
      </c>
      <c r="AK165">
        <f t="shared" si="117"/>
        <v>0</v>
      </c>
      <c r="AL165">
        <f t="shared" si="117"/>
        <v>0</v>
      </c>
      <c r="AM165">
        <f t="shared" si="117"/>
        <v>0</v>
      </c>
      <c r="AN165">
        <f t="shared" si="117"/>
        <v>0</v>
      </c>
      <c r="AO165">
        <f t="shared" si="117"/>
        <v>0</v>
      </c>
      <c r="AP165">
        <f t="shared" si="117"/>
        <v>0</v>
      </c>
      <c r="AQ165">
        <f t="shared" si="117"/>
        <v>0</v>
      </c>
      <c r="AR165">
        <f t="shared" si="117"/>
        <v>0</v>
      </c>
      <c r="AS165">
        <f t="shared" si="117"/>
        <v>0</v>
      </c>
      <c r="AT165">
        <f t="shared" si="117"/>
        <v>0</v>
      </c>
      <c r="AU165">
        <f t="shared" si="117"/>
        <v>0</v>
      </c>
      <c r="AV165">
        <f t="shared" si="117"/>
        <v>0</v>
      </c>
      <c r="AW165">
        <f t="shared" si="117"/>
        <v>0</v>
      </c>
      <c r="AX165">
        <f t="shared" si="117"/>
        <v>0</v>
      </c>
      <c r="AY165">
        <f t="shared" si="117"/>
        <v>0</v>
      </c>
      <c r="AZ165">
        <f t="shared" si="117"/>
        <v>0</v>
      </c>
      <c r="BA165">
        <f t="shared" si="117"/>
        <v>0</v>
      </c>
      <c r="BB165">
        <f t="shared" si="117"/>
        <v>0</v>
      </c>
      <c r="BC165">
        <f t="shared" si="117"/>
        <v>0</v>
      </c>
      <c r="BE165">
        <f t="shared" si="105"/>
        <v>53</v>
      </c>
    </row>
    <row r="166" spans="1:57" ht="15.75"/>
    <row r="167" spans="1:57" ht="15.75"/>
    <row r="168" spans="1:57" ht="15.75">
      <c r="B168" t="s">
        <v>178</v>
      </c>
      <c r="C168">
        <f t="shared" ref="C168:D168" si="118">COUNTIF(C4:C59, "ID1")</f>
        <v>0</v>
      </c>
      <c r="D168">
        <f t="shared" si="118"/>
        <v>0</v>
      </c>
      <c r="E168">
        <f t="shared" ref="E168:BC168" si="119">COUNTIF(E4:E59, "ID1")</f>
        <v>0</v>
      </c>
      <c r="F168">
        <f t="shared" ref="F168:BC168" si="120">COUNTIF(F4:F59, "ID1")</f>
        <v>0</v>
      </c>
      <c r="G168">
        <f t="shared" si="120"/>
        <v>0</v>
      </c>
      <c r="H168">
        <f t="shared" si="120"/>
        <v>0</v>
      </c>
      <c r="I168">
        <f t="shared" si="120"/>
        <v>0</v>
      </c>
      <c r="J168">
        <f t="shared" si="120"/>
        <v>0</v>
      </c>
      <c r="K168">
        <f t="shared" si="120"/>
        <v>0</v>
      </c>
      <c r="L168">
        <f t="shared" si="120"/>
        <v>0</v>
      </c>
      <c r="M168">
        <f t="shared" si="120"/>
        <v>0</v>
      </c>
      <c r="N168">
        <f t="shared" si="120"/>
        <v>0</v>
      </c>
      <c r="O168">
        <f t="shared" si="120"/>
        <v>0</v>
      </c>
      <c r="P168">
        <f t="shared" si="120"/>
        <v>0</v>
      </c>
      <c r="Q168">
        <f t="shared" si="120"/>
        <v>0</v>
      </c>
      <c r="R168">
        <f t="shared" si="120"/>
        <v>0</v>
      </c>
      <c r="S168">
        <f t="shared" si="120"/>
        <v>0</v>
      </c>
      <c r="T168">
        <f t="shared" si="120"/>
        <v>0</v>
      </c>
      <c r="U168">
        <f t="shared" si="120"/>
        <v>0</v>
      </c>
      <c r="V168">
        <f t="shared" si="120"/>
        <v>0</v>
      </c>
      <c r="W168">
        <f t="shared" si="120"/>
        <v>0</v>
      </c>
      <c r="X168">
        <f t="shared" si="120"/>
        <v>0</v>
      </c>
      <c r="Y168">
        <f t="shared" si="120"/>
        <v>0</v>
      </c>
      <c r="Z168">
        <f t="shared" si="120"/>
        <v>0</v>
      </c>
      <c r="AA168">
        <f t="shared" si="120"/>
        <v>0</v>
      </c>
      <c r="AB168">
        <f t="shared" si="120"/>
        <v>0</v>
      </c>
      <c r="AC168">
        <f t="shared" si="120"/>
        <v>0</v>
      </c>
      <c r="AD168">
        <f t="shared" si="120"/>
        <v>0</v>
      </c>
      <c r="AE168">
        <f t="shared" si="120"/>
        <v>0</v>
      </c>
      <c r="AF168">
        <f t="shared" si="120"/>
        <v>0</v>
      </c>
      <c r="AG168">
        <f t="shared" si="120"/>
        <v>0</v>
      </c>
      <c r="AH168">
        <f t="shared" si="120"/>
        <v>0</v>
      </c>
      <c r="AI168">
        <f t="shared" si="120"/>
        <v>0</v>
      </c>
      <c r="AJ168">
        <f t="shared" si="120"/>
        <v>0</v>
      </c>
      <c r="AK168">
        <f t="shared" si="120"/>
        <v>0</v>
      </c>
      <c r="AL168">
        <f t="shared" si="120"/>
        <v>0</v>
      </c>
      <c r="AM168">
        <f t="shared" si="120"/>
        <v>0</v>
      </c>
      <c r="AN168">
        <f t="shared" si="120"/>
        <v>0</v>
      </c>
      <c r="AO168">
        <f t="shared" si="120"/>
        <v>0</v>
      </c>
      <c r="AP168">
        <f t="shared" si="120"/>
        <v>0</v>
      </c>
      <c r="AQ168">
        <f t="shared" si="120"/>
        <v>0</v>
      </c>
      <c r="AR168">
        <f t="shared" si="120"/>
        <v>0</v>
      </c>
      <c r="AS168">
        <f t="shared" si="120"/>
        <v>0</v>
      </c>
      <c r="AT168">
        <f t="shared" si="120"/>
        <v>0</v>
      </c>
      <c r="AU168">
        <f t="shared" si="120"/>
        <v>0</v>
      </c>
      <c r="AV168">
        <f t="shared" si="120"/>
        <v>0</v>
      </c>
      <c r="AW168">
        <f t="shared" si="120"/>
        <v>0</v>
      </c>
      <c r="AX168">
        <f t="shared" si="120"/>
        <v>0</v>
      </c>
      <c r="AY168">
        <f t="shared" si="120"/>
        <v>0</v>
      </c>
      <c r="AZ168">
        <f t="shared" si="120"/>
        <v>0</v>
      </c>
      <c r="BA168">
        <f t="shared" si="120"/>
        <v>0</v>
      </c>
      <c r="BB168">
        <f t="shared" si="120"/>
        <v>0</v>
      </c>
      <c r="BC168">
        <f t="shared" si="120"/>
        <v>0</v>
      </c>
      <c r="BE168">
        <f t="shared" ref="BE168:BE169" si="121">COUNTIF(C168:BC168, "0")</f>
        <v>53</v>
      </c>
    </row>
    <row r="169" spans="1:57" ht="15.75">
      <c r="B169" t="s">
        <v>179</v>
      </c>
      <c r="C169">
        <f t="shared" ref="C169:D169" si="122">COUNTIF(C4:C59, "jeopardy")</f>
        <v>0</v>
      </c>
      <c r="D169">
        <f t="shared" si="122"/>
        <v>0</v>
      </c>
      <c r="E169">
        <f>COUNTIF(E4:E59, "jeopardy")</f>
        <v>0</v>
      </c>
      <c r="F169">
        <f t="shared" ref="F169:BC169" si="123">COUNTIF(F4:F59, "jeopardy")</f>
        <v>0</v>
      </c>
      <c r="G169">
        <f t="shared" si="123"/>
        <v>0</v>
      </c>
      <c r="H169">
        <f t="shared" si="123"/>
        <v>0</v>
      </c>
      <c r="I169">
        <f t="shared" si="123"/>
        <v>0</v>
      </c>
      <c r="J169">
        <f t="shared" si="123"/>
        <v>0</v>
      </c>
      <c r="K169">
        <f t="shared" si="123"/>
        <v>0</v>
      </c>
      <c r="L169">
        <f t="shared" si="123"/>
        <v>0</v>
      </c>
      <c r="M169">
        <f t="shared" si="123"/>
        <v>0</v>
      </c>
      <c r="N169">
        <f t="shared" si="123"/>
        <v>0</v>
      </c>
      <c r="O169">
        <f t="shared" si="123"/>
        <v>0</v>
      </c>
      <c r="P169">
        <f t="shared" si="123"/>
        <v>0</v>
      </c>
      <c r="Q169">
        <f t="shared" si="123"/>
        <v>0</v>
      </c>
      <c r="R169">
        <f t="shared" si="123"/>
        <v>0</v>
      </c>
      <c r="S169">
        <f t="shared" si="123"/>
        <v>0</v>
      </c>
      <c r="T169">
        <f t="shared" si="123"/>
        <v>0</v>
      </c>
      <c r="U169">
        <f t="shared" si="123"/>
        <v>0</v>
      </c>
      <c r="V169">
        <f t="shared" si="123"/>
        <v>0</v>
      </c>
      <c r="W169">
        <f t="shared" si="123"/>
        <v>0</v>
      </c>
      <c r="X169">
        <f t="shared" si="123"/>
        <v>0</v>
      </c>
      <c r="Y169">
        <f t="shared" si="123"/>
        <v>0</v>
      </c>
      <c r="Z169">
        <f t="shared" si="123"/>
        <v>0</v>
      </c>
      <c r="AA169">
        <f t="shared" si="123"/>
        <v>0</v>
      </c>
      <c r="AB169">
        <f t="shared" si="123"/>
        <v>0</v>
      </c>
      <c r="AC169">
        <f t="shared" si="123"/>
        <v>0</v>
      </c>
      <c r="AD169">
        <f t="shared" si="123"/>
        <v>0</v>
      </c>
      <c r="AE169">
        <f t="shared" si="123"/>
        <v>0</v>
      </c>
      <c r="AF169">
        <f t="shared" si="123"/>
        <v>0</v>
      </c>
      <c r="AG169">
        <f t="shared" si="123"/>
        <v>0</v>
      </c>
      <c r="AH169">
        <f t="shared" si="123"/>
        <v>0</v>
      </c>
      <c r="AI169">
        <f t="shared" si="123"/>
        <v>0</v>
      </c>
      <c r="AJ169">
        <f t="shared" si="123"/>
        <v>0</v>
      </c>
      <c r="AK169">
        <f t="shared" si="123"/>
        <v>0</v>
      </c>
      <c r="AL169">
        <f t="shared" si="123"/>
        <v>0</v>
      </c>
      <c r="AM169">
        <f t="shared" si="123"/>
        <v>0</v>
      </c>
      <c r="AN169">
        <f t="shared" si="123"/>
        <v>0</v>
      </c>
      <c r="AO169">
        <f t="shared" si="123"/>
        <v>0</v>
      </c>
      <c r="AP169">
        <f t="shared" si="123"/>
        <v>0</v>
      </c>
      <c r="AQ169">
        <f t="shared" si="123"/>
        <v>0</v>
      </c>
      <c r="AR169">
        <f t="shared" si="123"/>
        <v>0</v>
      </c>
      <c r="AS169">
        <f t="shared" si="123"/>
        <v>0</v>
      </c>
      <c r="AT169">
        <f t="shared" si="123"/>
        <v>0</v>
      </c>
      <c r="AU169">
        <f t="shared" si="123"/>
        <v>0</v>
      </c>
      <c r="AV169">
        <f t="shared" si="123"/>
        <v>0</v>
      </c>
      <c r="AW169">
        <f t="shared" si="123"/>
        <v>0</v>
      </c>
      <c r="AX169">
        <f t="shared" si="123"/>
        <v>0</v>
      </c>
      <c r="AY169">
        <f t="shared" si="123"/>
        <v>0</v>
      </c>
      <c r="AZ169">
        <f t="shared" si="123"/>
        <v>0</v>
      </c>
      <c r="BA169">
        <f t="shared" si="123"/>
        <v>0</v>
      </c>
      <c r="BB169">
        <f t="shared" si="123"/>
        <v>0</v>
      </c>
      <c r="BC169">
        <f t="shared" si="123"/>
        <v>0</v>
      </c>
      <c r="BE169">
        <f t="shared" si="121"/>
        <v>53</v>
      </c>
    </row>
    <row r="170" spans="1:57" ht="15.75"/>
    <row r="171" spans="1:57" ht="15.75">
      <c r="B171" s="1" t="s">
        <v>180</v>
      </c>
      <c r="C171">
        <f t="shared" ref="C171:D171" si="124">SUM(C160+C157+C158+C153+C149+C144+C137+C129)</f>
        <v>0</v>
      </c>
      <c r="D171">
        <f t="shared" si="124"/>
        <v>0</v>
      </c>
      <c r="E171">
        <f t="shared" ref="E171:BC171" si="125">SUM(E160+E157+E158+E153+E149+E144+E137+E129)</f>
        <v>0</v>
      </c>
      <c r="F171">
        <f t="shared" ref="F171:BC171" si="126">SUM(F160+F157+F158+F153+F149+F144+F137+F129)</f>
        <v>0</v>
      </c>
      <c r="G171">
        <f t="shared" si="126"/>
        <v>0</v>
      </c>
      <c r="H171">
        <f t="shared" si="126"/>
        <v>0</v>
      </c>
      <c r="I171">
        <f t="shared" si="126"/>
        <v>0</v>
      </c>
      <c r="J171">
        <f t="shared" si="126"/>
        <v>0</v>
      </c>
      <c r="K171">
        <f t="shared" si="126"/>
        <v>0</v>
      </c>
      <c r="L171">
        <f t="shared" si="126"/>
        <v>0</v>
      </c>
      <c r="M171">
        <f t="shared" si="126"/>
        <v>0</v>
      </c>
      <c r="N171">
        <f t="shared" si="126"/>
        <v>0</v>
      </c>
      <c r="O171">
        <f t="shared" si="126"/>
        <v>0</v>
      </c>
      <c r="P171">
        <f t="shared" si="126"/>
        <v>0</v>
      </c>
      <c r="Q171">
        <f t="shared" si="126"/>
        <v>0</v>
      </c>
      <c r="R171">
        <f t="shared" si="126"/>
        <v>0</v>
      </c>
      <c r="S171">
        <f t="shared" si="126"/>
        <v>0</v>
      </c>
      <c r="T171">
        <f t="shared" si="126"/>
        <v>0</v>
      </c>
      <c r="U171">
        <f t="shared" si="126"/>
        <v>0</v>
      </c>
      <c r="V171">
        <f t="shared" si="126"/>
        <v>0</v>
      </c>
      <c r="W171">
        <f t="shared" si="126"/>
        <v>0</v>
      </c>
      <c r="X171">
        <f t="shared" si="126"/>
        <v>0</v>
      </c>
      <c r="Y171">
        <f t="shared" si="126"/>
        <v>0</v>
      </c>
      <c r="Z171">
        <f t="shared" si="126"/>
        <v>0</v>
      </c>
      <c r="AA171">
        <f t="shared" si="126"/>
        <v>0</v>
      </c>
      <c r="AB171">
        <f t="shared" si="126"/>
        <v>0</v>
      </c>
      <c r="AC171">
        <f t="shared" si="126"/>
        <v>0</v>
      </c>
      <c r="AD171">
        <f t="shared" si="126"/>
        <v>0</v>
      </c>
      <c r="AE171">
        <f t="shared" si="126"/>
        <v>0</v>
      </c>
      <c r="AF171">
        <f t="shared" si="126"/>
        <v>0</v>
      </c>
      <c r="AG171">
        <f t="shared" si="126"/>
        <v>0</v>
      </c>
      <c r="AH171">
        <f t="shared" si="126"/>
        <v>0</v>
      </c>
      <c r="AI171">
        <f t="shared" si="126"/>
        <v>0</v>
      </c>
      <c r="AJ171">
        <f t="shared" si="126"/>
        <v>0</v>
      </c>
      <c r="AK171">
        <f t="shared" si="126"/>
        <v>0</v>
      </c>
      <c r="AL171">
        <f t="shared" si="126"/>
        <v>0</v>
      </c>
      <c r="AM171">
        <f t="shared" si="126"/>
        <v>0</v>
      </c>
      <c r="AN171">
        <f t="shared" si="126"/>
        <v>0</v>
      </c>
      <c r="AO171">
        <f t="shared" si="126"/>
        <v>0</v>
      </c>
      <c r="AP171">
        <f t="shared" si="126"/>
        <v>0</v>
      </c>
      <c r="AQ171">
        <f t="shared" si="126"/>
        <v>0</v>
      </c>
      <c r="AR171">
        <f t="shared" si="126"/>
        <v>0</v>
      </c>
      <c r="AS171">
        <f t="shared" si="126"/>
        <v>0</v>
      </c>
      <c r="AT171">
        <f t="shared" si="126"/>
        <v>0</v>
      </c>
      <c r="AU171">
        <f t="shared" si="126"/>
        <v>0</v>
      </c>
      <c r="AV171">
        <f t="shared" si="126"/>
        <v>0</v>
      </c>
      <c r="AW171">
        <f t="shared" si="126"/>
        <v>0</v>
      </c>
      <c r="AX171">
        <f t="shared" si="126"/>
        <v>0</v>
      </c>
      <c r="AY171">
        <f t="shared" si="126"/>
        <v>0</v>
      </c>
      <c r="AZ171">
        <f t="shared" si="126"/>
        <v>0</v>
      </c>
      <c r="BA171">
        <f t="shared" si="126"/>
        <v>0</v>
      </c>
      <c r="BB171">
        <f t="shared" si="126"/>
        <v>0</v>
      </c>
      <c r="BC171">
        <f t="shared" si="126"/>
        <v>0</v>
      </c>
    </row>
    <row r="172" spans="1:57" ht="15.75">
      <c r="B172" t="s">
        <v>181</v>
      </c>
    </row>
    <row r="173" spans="1:57" ht="15.75">
      <c r="A173" s="21"/>
      <c r="B173" t="s">
        <v>182</v>
      </c>
    </row>
    <row r="174" spans="1:57" ht="15.75"/>
    <row r="175" spans="1:57" ht="15.75">
      <c r="B175" s="1" t="s">
        <v>183</v>
      </c>
    </row>
    <row r="176" spans="1:57" ht="15.75">
      <c r="B176" t="s">
        <v>151</v>
      </c>
      <c r="C176">
        <f>SUM(C177:C186)</f>
        <v>0</v>
      </c>
    </row>
    <row r="177" spans="2:3" ht="15.75">
      <c r="B177" s="9" t="s">
        <v>184</v>
      </c>
      <c r="C177">
        <f>COUNTIF(C60:C122, "iSLUH1")</f>
        <v>0</v>
      </c>
    </row>
    <row r="178" spans="2:3" ht="15.75">
      <c r="B178" t="s">
        <v>185</v>
      </c>
      <c r="C178">
        <f>COUNTIF(C60:C122, "iSLUH2")</f>
        <v>0</v>
      </c>
    </row>
    <row r="179" spans="2:3" ht="15.75">
      <c r="B179" t="s">
        <v>186</v>
      </c>
      <c r="C179">
        <f>COUNTIF(C60:C122, "iSLUH3")</f>
        <v>0</v>
      </c>
    </row>
    <row r="180" spans="2:3" ht="15.75">
      <c r="B180" t="s">
        <v>187</v>
      </c>
      <c r="C180">
        <f>COUNTIF(C60:C122, "iSLUH4")</f>
        <v>0</v>
      </c>
    </row>
    <row r="181" spans="2:3" ht="15.75">
      <c r="B181" t="s">
        <v>188</v>
      </c>
      <c r="C181">
        <f>COUNTIF(C60:C122, "iSLUH5")</f>
        <v>0</v>
      </c>
    </row>
    <row r="182" spans="2:3" ht="15.75">
      <c r="B182" t="s">
        <v>189</v>
      </c>
      <c r="C182">
        <f>COUNTIF(C60:C122, "iSLUH6")</f>
        <v>0</v>
      </c>
    </row>
    <row r="183" spans="2:3" ht="15.75">
      <c r="B183" t="s">
        <v>190</v>
      </c>
      <c r="C183">
        <f>COUNTIF(C60:C122, "iSLUH7")</f>
        <v>0</v>
      </c>
    </row>
    <row r="184" spans="2:3" ht="15.75">
      <c r="B184" t="s">
        <v>191</v>
      </c>
      <c r="C184">
        <f>COUNTIF(C60:C122, "iSLUH8")</f>
        <v>0</v>
      </c>
    </row>
    <row r="185" spans="2:3" ht="15.75">
      <c r="B185" s="14" t="s">
        <v>192</v>
      </c>
      <c r="C185">
        <f>COUNTIF(C60:C122, "iSLUH9")</f>
        <v>0</v>
      </c>
    </row>
    <row r="186" spans="2:3" ht="15.75">
      <c r="B186" s="14" t="s">
        <v>193</v>
      </c>
      <c r="C186">
        <f>COUNTIF(C60:C122, "iSLUH10")</f>
        <v>0</v>
      </c>
    </row>
    <row r="187" spans="2:3" ht="15.75"/>
    <row r="188" spans="2:3" ht="15.75">
      <c r="B188" t="s">
        <v>158</v>
      </c>
      <c r="C188">
        <f>SUM(C189:C193)</f>
        <v>0</v>
      </c>
    </row>
    <row r="189" spans="2:3" ht="15.75">
      <c r="B189" t="s">
        <v>194</v>
      </c>
      <c r="C189">
        <f>COUNTIF(C60:C122, "iVA1")</f>
        <v>0</v>
      </c>
    </row>
    <row r="190" spans="2:3" ht="15.75">
      <c r="B190" t="s">
        <v>195</v>
      </c>
      <c r="C190">
        <f>COUNTIF(C60:C122, "iVA2")</f>
        <v>0</v>
      </c>
    </row>
    <row r="191" spans="2:3" ht="15.75">
      <c r="B191" t="s">
        <v>196</v>
      </c>
      <c r="C191">
        <f>COUNTIF(C60:C122, "iVA3")</f>
        <v>0</v>
      </c>
    </row>
    <row r="192" spans="2:3" ht="15.75">
      <c r="B192" t="s">
        <v>197</v>
      </c>
      <c r="C192">
        <f>COUNTIF(C60:C122, "iVA4")</f>
        <v>0</v>
      </c>
    </row>
    <row r="193" spans="2:3" ht="15.75">
      <c r="B193" t="s">
        <v>198</v>
      </c>
      <c r="C193">
        <f>COUNTIF(C60:C122, "iVA5")</f>
        <v>0</v>
      </c>
    </row>
    <row r="194" spans="2:3" ht="15.75">
      <c r="B194" t="s">
        <v>199</v>
      </c>
      <c r="C194">
        <f>COUNTIF(C60:C122, "Vswing")</f>
        <v>0</v>
      </c>
    </row>
    <row r="195" spans="2:3" ht="15.75"/>
    <row r="196" spans="2:3" ht="15.75">
      <c r="B196" t="s">
        <v>136</v>
      </c>
      <c r="C196">
        <f>SUM(C197:C199)</f>
        <v>0</v>
      </c>
    </row>
    <row r="197" spans="2:3" ht="15.75">
      <c r="B197" t="s">
        <v>200</v>
      </c>
      <c r="C197">
        <f>COUNTIF(C60:C122, "iMICU1")</f>
        <v>0</v>
      </c>
    </row>
    <row r="198" spans="2:3" ht="15.75">
      <c r="B198" t="s">
        <v>201</v>
      </c>
      <c r="C198">
        <f>COUNTIF(C60:C122, "iMICU2")</f>
        <v>0</v>
      </c>
    </row>
    <row r="199" spans="2:3" ht="15.75">
      <c r="B199" s="14" t="s">
        <v>202</v>
      </c>
      <c r="C199">
        <f>COUNTIF(C60:C122, "iMICU3")</f>
        <v>0</v>
      </c>
    </row>
    <row r="200" spans="2:3" ht="15.75"/>
    <row r="201" spans="2:3" ht="15.75">
      <c r="B201" t="s">
        <v>129</v>
      </c>
      <c r="C201">
        <f>SUM(C202:C205)</f>
        <v>0</v>
      </c>
    </row>
    <row r="202" spans="2:3" ht="15.75">
      <c r="B202" t="s">
        <v>203</v>
      </c>
      <c r="C202">
        <f>COUNTIF(C60:C122, "iNF1")</f>
        <v>0</v>
      </c>
    </row>
    <row r="203" spans="2:3" ht="15.75">
      <c r="B203" t="s">
        <v>204</v>
      </c>
      <c r="C203">
        <f>COUNTIF(C60:C122, "iNF2")</f>
        <v>0</v>
      </c>
    </row>
    <row r="204" spans="2:3" ht="15.75">
      <c r="B204" t="s">
        <v>205</v>
      </c>
      <c r="C204">
        <f>COUNTIF(C60:C122, "iNF3")</f>
        <v>0</v>
      </c>
    </row>
    <row r="205" spans="2:3" ht="15.75">
      <c r="B205" t="s">
        <v>206</v>
      </c>
      <c r="C205">
        <f>COUNTIF(C60:C122, "iNF4")</f>
        <v>0</v>
      </c>
    </row>
    <row r="206" spans="2:3" ht="15.75"/>
    <row r="207" spans="2:3" ht="15.75">
      <c r="B207" t="s">
        <v>207</v>
      </c>
      <c r="C207">
        <f>COUNTIF(C60:C122, "icar")</f>
        <v>0</v>
      </c>
    </row>
    <row r="208" spans="2:3" ht="15.75"/>
    <row r="209" spans="2:3" ht="15.75">
      <c r="B209" t="s">
        <v>208</v>
      </c>
      <c r="C209">
        <f>SUM(C207+C201+C196+C194+C188+C176)</f>
        <v>0</v>
      </c>
    </row>
    <row r="210" spans="2:3" ht="15.75"/>
    <row r="211" spans="2:3" ht="15.75"/>
  </sheetData>
  <sheetProtection sheet="1" objects="1" scenarios="1"/>
  <conditionalFormatting sqref="B128 AH101:XFD101 AT102:XFD102 AY103:XFD103 BD104:XFD104 B131:B133 B137:B142 B144:B147 B149:B151 B153:B155 B157:B158 B160:B165 A1:XFD3 E101:AC101 E102:AO102 E103:AT103 E104:AX104 A129:B130 B171:B177 A166:B166 A170:B170 A180:C188 B189:C190 A191:C194 C195 A204:C1048576 C174:C179 B196:C203 A91:C124 E91:XFD100 B167:B169 C125 BE62:BF62 D91:D125 BD4:XFD60 BD61:BF61 D174:D1048576 C126:D173 E105:XFD1048576 BD63:BF90 D4:W85 Y4:AA90 AD4:BB90 A4:B85 A86:W90 BG61:XFD90 A1:A1048576">
    <cfRule type="containsText" dxfId="5" priority="3" operator="containsText" text="Clinic">
      <formula>NOT(ISERROR(SEARCH("Clinic",A1)))</formula>
    </cfRule>
  </conditionalFormatting>
  <pageMargins left="0.7" right="0.7" top="0.75" bottom="0.75" header="0.3" footer="0.3"/>
  <pageSetup orientation="portrait" horizontalDpi="0" verticalDpi="0"/>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EFA33A28-264F-E04E-87A7-863BE751EAEC}">
          <x14:formula1>
            <xm:f>'Rotation List'!$A$6:$A$32</xm:f>
          </x14:formula1>
          <xm:sqref>S12:U12 F5:H5 H47 K4:M4 D8:E9 D7 D45 R5:T5 N7:P7 O8:Q8 G6:I6 S6:U6 U8:W8 L5:N5 M6:O6 O14:Q14 P9:R9 Q4:S4 T7:V7 V9:W9 W10 Y5:AA5 Z6:AA6 Y9 Y4:Z4 AA7 AD6:AD8 AF4:AH4 AG5:AI5 AH6:AJ6 AJ8:AL8 AI7:AK7 AE8:AF8 AE7 AE9:AG9 AL4:AN4 AM5:AO5 AN6:AP6 AP8:AR8 AO7:AQ7 AK9:AM9 AR4:AT4 AS5:AU5 AT6:AV6 AV8:AX8 AU7:AW7 AQ9:AS9 AX4:AZ4 AY5:BA5 AZ6:BB6 BB8 BA7:BB7 AW9:AY9 F11:H11 H7:J7 I14:K14 H13:J13 D14:E15 D13 R11:T11 E4:G4 N13:P13 J9:L9 P21:R21 Q10:S10 L11:N11 I8:K8 E16:G16 P15:R15 M12:O12 T13:V13 V15:W15 W16 Y11:AA11 Z12:AA12 Y15 Y10:Z10 AA13 AD12:AD14 AF10:AH10 AG11:AI11 AH12:AJ12 AJ14:AL14 AI13:AK13 AE14:AF14 AE13 AE15:AG15 AL10:AN10 AM11:AO11 AN12:AP12 AP14:AR14 AO13:AQ13 AK15:AM15 AR10:AT10 AS11:AU11 AT12:AV12 AV14:AX14 AU13:AW13 AQ15:AS15 AX10:AZ10 AY11:BA11 AZ12:BB12 BB14 BA13:BB13 AW15:AY15 F15 G18:I18 F39 G12:I12 D19 R17:T17 N19:P19 K10:M10 G48:I48 S18:U18 U20:W20 L17:N17 F17:H17 I26:K26 J21:L21 Q16:S16 T49:V49 P33:R33 Y17:AA17 Z18:AA18 Y21 Y16:Z16 AA19 AD18:AD20 AF16:AH16 AG17:AI17 AH18:AJ18 AJ20:AL20 AI19:AK19 AE20:AF20 AE19 AE21:AG21 AL16:AN16 AM17:AO17 AN18:AP18 AP20:AR20 AO19:AQ19 AK21:AM21 AR16:AT16 AS17:AU17 AT18:AV18 AV20:AX20 AU19:AW19 AQ21:AS21 AX16:AZ16 AY17:BA17 AZ18:BB18 BB20 BA19:BB19 AW21:AY21 W21:W22 AY59:BA59 U56 J33:L33 D26:E27 D25 D20:E21 R23:T23 O26:Q26 F35:H35 N25:P25 U26:W26 E58:G58 M24:O24 J27:L27 H19:J19 M18:O18 T25:V25 Q22:S22 V21 Y23:AA23 Z24:AA24 Y27 Y22:Z22 AA25 AD24:AD26 AF22:AH22 AG23:AI23 AH24:AJ24 AJ26:AL26 AI25:AK25 AE26:AF26 AE25 AE27:AG27 AL22:AN22 AM23:AO23 AN24:AP24 AP26:AR26 AO25:AQ25 AK27:AM27 AR22:AT22 AS23:AU23 AT24:AV24 AV26:AX26 AU25:AW25 AQ27:AS27 AX22:AZ22 AY23:BA23 AZ24:BB24 BB26 BA25:BB25 AW27:AY27 E28:G28 F29:H29 E22:G22 I32:K32 H31:J31 D32:E32 D31 AV56:AX56 R29:T29 N31:P31 O32:Q32 F23:H23 U32:W32 L29:N29 H25:J25 F27 L23:N23 O20:Q20 T31:V31 V33:W33 W27:W28 Y29:AA29 Z30:AA30 Y33 Y28:Z28 AA31 AD30:AD32 AF28:AH28 AG29:AI29 AH30:AJ30 AJ32:AL32 AI31:AK31 AE32:AF32 AE31 AE33:AG33 AL28:AN28 AM29:AO29 AN30:AP30 AP32:AR32 AO31:AQ31 AK33:AM33 AR28:AT28 AS29:AU29 AT30:AV30 AV32:AX32 AU31:AW31 AQ33:AS33 AX28:AZ28 AY29:BA29 AZ30:BB30 BB32 BA31:BB31 AW33:AY33 E34:G34 G36:I36 I38:K38 G30:I30 D38:E39 D37 D33:F33 K16:M16 N37:P37 O38:Q38 G24:I24 M30:O30 T19:V19 L35:N35 H37:J37 J39:L39 K34:M34 K28:M28 T37:V37 V39:W39 U38:W38 Y35:AA35 Z36:AA36 Y39 Y34:Z34 AA37 AT54:AV54 AF34:AH34 AG35:AI35 AH36:AJ36 AJ38:AL38 AI37:AK37 Q34:S34 AE37 AE39:AG39 AL34:AN34 AM35:AO35 AN36:AP36 AP38:AR38 AO37:AQ37 AK39:AM39 AR34:AT34 AS35:AU35 AT36:AV36 AV38:AX38 AU37:AW37 AQ39:AS39 AX34:AZ34 AY35:BA35 AZ36:BB36 BB38 BA37:BB37 AW39:AY39 W34 Q28:S28 G42:I42 W52 H43:J43 D44:E44 D43 R41:T41 L47:N47 K40:M40 E40:G40 M36:O36 R53:T53 L41:N41 W40 J45:L45 AX58:AZ58 P27:R27 T43:V43 Q40:S40 V45 Y41:AA41 Z42:AA42 Y45 Y40:Z40 AA43 AD42:AD44 S36:U36 AG41:AI41 AD38:AF38 AF40:AH40 AI43:AK43 AE44:AF44 AE43 AE45:AG45 AL40:AN40 AM41:AO41 AN42:AP42 AP44:AR44 AO43:AQ43 AK45:AM45 AR40:AT40 AS41:AU41 AT42:AV42 AV44:AX44 AU43:AW43 AQ45:AS45 AX40:AZ40 AY41:BA41 AZ42:BB42 BB44 BA43:BB43 AW45:AY45 J15:L15 F21 F51 I50:K50 H49:J49 D50:E51 D49 E45:E46 R47:T47 N49:P49 I44:K44 L53:N53 S48:U48 U50:W50 K46:M46 M48:O48 J51:L51 P51:R51 M42:O42 P45:R45 V51:W51 W45:W46 Y47:AA47 Z48:AA48 Y51 Y46:Z46 AA49 AD48:AD50 AF46:AH46 AG47:AI47 AH48:AJ48 AJ50:AL50 AI49:AK49 AE50:AF50 AE49 AE51:AG51 AH42:AJ42 AM47:AO47 AJ44:AL44 AL46:AN46 AO49:AQ49 AK51:AM51 AR46:AT46 AS47:AU47 AT48:AV48 AV50:AX50 AU49:AW49 AQ51:AS51 AX46:AZ46 AY47:BA47 AZ48:BB48 BB50 BA49:BB49 AW51:AY51 F53:H53 G54:I54 I56:K56 H55:J55 D56:E57 D55 E52:G52 Q46:S46 N55:P55 O56:Q56 O50:Q50 Q52:S52 K52:M52 M54:O54 F41:H41 P57:R57 N43:P43 T55:V55 P39:R39 V56:W57 Y53:AA53 Z54:AA54 Y57 Y52:Z52 AA55 AD54:AD56 AF52:AH52 AG53:AI53 AH54:AJ54 AJ56:AL56 AI55:AK55 AE56:AF56 AE55 AE57:AG57 AL52:AN52 AM53:AO53 AN54:AP54 AP56:AR56 AO55:AQ55 AK57:AM57 AN48:AP48 AS53:AU53 AP50:AR50 AR52:AT52 AU55:AW55 AQ57:AS57 AX52:AZ52 AY53:BA53 AZ54:BB54 BB56 BA55:BB55 AW57:AY57 F57 F59:H59 S24:U24 K58:M58 L59:N59 J57:L57 W58 Y59:AA59 Y58:Z58 AF58:AH58 AG59:AI59 AL58:AN58 AM59:AO59 AR58:AT58 AS59:AU59 AD36:AD37 V27 O44:Q44 S54:U54 F46:G47 Q58:S58 F45 R59:T59 R35:T35 E10:G10 I20:K20 U44:W44 K22:M22 S30:U30 S42:U42 F9 U14:W14 W4</xm:sqref>
        </x14:dataValidation>
        <x14:dataValidation type="list" allowBlank="1" showDropDown="1" showInputMessage="1" showErrorMessage="1" xr:uid="{17711B93-86FC-6548-B6AA-1442D815B1A3}">
          <x14:formula1>
            <xm:f>'Rotation List'!$A$6:$A$32</xm:f>
          </x14:formula1>
          <xm:sqref>F6 L6 R6 Y6 AG6 AM6 AS6 AY6 F12 L12 R12 Y12 AG12 AM12 AS12 AY12 F18 L18 R18 Y18 AG18 AM18 AS18 AY18 F24 L24 R24 Y24 AG24 AM24 AS24 AY24 F30 L30 R30 Y30 AG30 AM30 AS30 AY30 F36 L36 R36 Y36 AG36 AM36 AS36 AY36 F42 L42 R42 Y42 AG42 AM42 AS42 AY42 F48 L48 R48 Y48 AG48 AM48 AS48 AY48 F54 L54 R54 Y54 AG54 AM54 AS54 AY54</xm:sqref>
        </x14:dataValidation>
        <x14:dataValidation type="list" allowBlank="1" showInputMessage="1" showErrorMessage="1" xr:uid="{10DA5586-F250-4F3A-8C43-1831D1BD8CFB}">
          <x14:formula1>
            <xm:f>'Rotation List'!$A$38:$A$61</xm:f>
          </x14:formula1>
          <xm:sqref>D65:F65 E63:F63 E60:G60 AZ62:BB62 H63:J63 K60:M60 G62:I62 D64:E64 BA63:BB63 AD64:AF64 BB64 AK65:AM65 AQ65:AS65 AR60:AT60 M62:O62 AW65:AY65 AV70:AX70 AV76:AX76 AV82:AX82 Y60:Z60 AF60:AH60 AL60:AN60 AX60:AZ60 F61:H61 L61:N61 Q60:S60 W60 R61:T61 Y61:AA61 AM61:AO61 AY61:BA61 AS61:AU61 AG61:AI61 S62:U62 AD62 Z62:AA62 AH62:AJ62 AN62:AP62 AT62:AV62 I64:K64 J65:L65 D62:D63 N63:P63 T63:V63 AA63 AD63:AE63 AI63:AK63 AO63:AQ63 AU63:AW63 O64:Q64 U64:W64 P65:R65 V65:W65 Y65 AE65:AG65 AJ64:AL64 AP64:AR64 AV64:AX64 D71:F71 E69:F69 E66:G66 AZ68:BB68 H69:J69 K66:M66 G68:I68 D70:E70 BA69:BB69 AD70:AF70 BB70 AK71:AM71 AQ71:AS71 AR66:AT66 M68:O68 AW71:AY71 Y66:Z66 AF66:AH66 AL66:AN66 AX66:AZ66 F67:H67 L67:N67 Q66:S66 W66 R67:T67 Y67:AA67 AM67:AO67 AY67:BA67 AS67:AU67 AG67:AI67 S68:U68 AD68 Z68:AA68 AH68:AJ68 AN68:AP68 AT68:AV68 I70:K70 J71:L71 D68:D69 N69:P69 T69:V69 AA69 AD69:AE69 AI69:AK69 AO69:AQ69 AU69:AW69 O70:Q70 U70:W70 P71:R71 V71:W71 Y71 AE71:AG71 AJ70:AL70 AP70:AR70 D77:F77 E75:F75 E72:G72 AZ74:BB74 H75:J75 K72:M72 G74:I74 D76:E76 BA75:BB75 AD76:AF76 BB76 AK77:AM77 AQ77:AS77 AR72:AT72 M74:O74 AW77:AY77 Y72:Z72 AF72:AH72 AL72:AN72 AX72:AZ72 F73:H73 L73:N73 Q72:S72 W72 R73:T73 Y73:AA73 AM73:AO73 AY73:BA73 AS73:AU73 AG73:AI73 S74:U74 AD74 Z74:AA74 AH74:AJ74 AN74:AP74 AT74:AV74 I76:K76 J77:L77 D74:D75 N75:P75 T75:V75 AA75 AD75:AE75 AI75:AK75 AO75:AQ75 AU75:AW75 O76:Q76 U76:W76 P77:R77 V77:W77 Y77 AE77:AG77 AJ76:AL76 AP76:AR76 D83:F83 E81:F81 E78:G78 AZ80:BB80 H81:J81 K78:M78 G80:I80 D82:E82 BA81:BB81 AD82:AF82 BB82 AK83:AM83 AQ83:AS83 AR78:AT78 M80:O80 AW83:AY83 Y78:Z78 AF78:AH78 AL78:AN78 AX78:AZ78 F79:H79 L79:N79 Q78:S78 W78 R79:T79 Y79:AA79 AM79:AO79 AY79:BA79 AS79:AU79 AG79:AI79 S80:U80 AD80 Z80:AA80 AH80:AJ80 AN80:AP80 AT80:AV80 I82:K82 J83:L83 D80:D81 N81:P81 T81:V81 AA81 AD81:AE81 AI81:AK81 AO81:AQ81 AU81:AW81 O82:Q82 U82:W82 P83:R83 V83:W83 Y83 AE83:AG83 AJ82:AL82 AP82:AR82 D86:F86 E84:G84 K84:M84 AK86:AM86 AQ86:AS86 AR84:AT84 AW86:AY86 Y84:Z84 AF84:AH84 AL84:AN84 AX84:AZ84 F85:H85 L85:N85 Q84:S84 W84 R85:T85 Y85:AA85 AM85:AO85 AY85:BA85 AS85:AU85 AG85:AI85 J86:L86 P86:R86 V86:W86 Y86 AE86:AG86 E90:F90 E87:G87 AZ89:BB89 H90:J90 K87:M87 G89:I89 BA90:BB90 AR87:AT87 M89:O89 Y87:Z87 AF87:AH87 AL87:AN87 AX87:AZ87 F88:H88 L88:N88 Q87:S87 W87 R88:T88 Y88:AA88 AM88:AO88 AY88:BA88 AS88:AU88 AG88:AI88 S89:U89 AD89 Z89:AA89 AH89:AJ89 AN89:AP89 AT89:AV89 D89:D90 N90:P90 T90:V90 AA90 AD90:AE90 AI90:AK90 AO90:AQ90 AU90:AW90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83029-8D46-4402-BA29-F8B393EE743D}">
  <dimension ref="A1:XFD214"/>
  <sheetViews>
    <sheetView workbookViewId="0">
      <pane ySplit="1" topLeftCell="A2" activePane="bottomLeft" state="frozen"/>
      <selection pane="bottomLeft" activeCell="AD100" sqref="AD100:AG100"/>
    </sheetView>
  </sheetViews>
  <sheetFormatPr defaultRowHeight="15.75"/>
  <sheetData>
    <row r="1" spans="1:67">
      <c r="B1" t="s">
        <v>132</v>
      </c>
      <c r="C1" s="3">
        <v>46204</v>
      </c>
      <c r="D1" s="3">
        <v>46209</v>
      </c>
      <c r="E1" s="3">
        <v>46216</v>
      </c>
      <c r="F1" s="3">
        <v>46223</v>
      </c>
      <c r="G1" s="3">
        <v>46230</v>
      </c>
      <c r="H1" s="3">
        <v>46237</v>
      </c>
      <c r="I1" s="3">
        <v>46244</v>
      </c>
      <c r="J1" s="3">
        <v>46251</v>
      </c>
      <c r="K1" s="3">
        <v>46258</v>
      </c>
      <c r="L1" s="3">
        <v>46265</v>
      </c>
      <c r="M1" s="3">
        <v>46272</v>
      </c>
      <c r="N1" s="3">
        <v>46279</v>
      </c>
      <c r="O1" s="3">
        <v>46286</v>
      </c>
      <c r="P1" s="3">
        <v>46293</v>
      </c>
      <c r="Q1" s="3">
        <v>46300</v>
      </c>
      <c r="R1" s="3">
        <v>46307</v>
      </c>
      <c r="S1" s="3">
        <v>46314</v>
      </c>
      <c r="T1" s="3">
        <v>46321</v>
      </c>
      <c r="U1" s="3">
        <v>46328</v>
      </c>
      <c r="V1" s="3">
        <v>46335</v>
      </c>
      <c r="W1" s="3">
        <v>46342</v>
      </c>
      <c r="X1" s="4">
        <v>46349</v>
      </c>
      <c r="Y1" s="3">
        <v>46356</v>
      </c>
      <c r="Z1" s="3">
        <v>46363</v>
      </c>
      <c r="AA1" s="3">
        <v>46370</v>
      </c>
      <c r="AB1" s="4">
        <v>46377</v>
      </c>
      <c r="AC1" s="4">
        <v>46384</v>
      </c>
      <c r="AD1" s="3">
        <v>46026</v>
      </c>
      <c r="AE1" s="3">
        <v>46033</v>
      </c>
      <c r="AF1" s="3">
        <v>46040</v>
      </c>
      <c r="AG1" s="3">
        <v>46047</v>
      </c>
      <c r="AH1" s="3">
        <v>46054</v>
      </c>
      <c r="AI1" s="3">
        <v>46061</v>
      </c>
      <c r="AJ1" s="3">
        <v>46068</v>
      </c>
      <c r="AK1" s="3">
        <v>46075</v>
      </c>
      <c r="AL1" s="3">
        <v>46082</v>
      </c>
      <c r="AM1" s="3">
        <v>46089</v>
      </c>
      <c r="AN1" s="3">
        <v>46096</v>
      </c>
      <c r="AO1" s="3">
        <v>46103</v>
      </c>
      <c r="AP1" s="3">
        <v>46110</v>
      </c>
      <c r="AQ1" s="3">
        <v>46117</v>
      </c>
      <c r="AR1" s="3">
        <v>46124</v>
      </c>
      <c r="AS1" s="3">
        <v>46131</v>
      </c>
      <c r="AT1" s="3">
        <v>46138</v>
      </c>
      <c r="AU1" s="3">
        <v>46145</v>
      </c>
      <c r="AV1" s="3">
        <v>46152</v>
      </c>
      <c r="AW1" s="3">
        <v>46159</v>
      </c>
      <c r="AX1" s="3">
        <v>46166</v>
      </c>
      <c r="AY1" s="3">
        <v>46173</v>
      </c>
      <c r="AZ1" s="3">
        <v>46180</v>
      </c>
      <c r="BA1" s="5">
        <v>46187</v>
      </c>
      <c r="BB1" s="3">
        <v>46194</v>
      </c>
      <c r="BC1" s="6">
        <v>46201</v>
      </c>
      <c r="BF1" t="s">
        <v>133</v>
      </c>
      <c r="BG1" t="s">
        <v>134</v>
      </c>
      <c r="BH1" t="s">
        <v>135</v>
      </c>
      <c r="BI1" t="s">
        <v>136</v>
      </c>
      <c r="BJ1" t="s">
        <v>129</v>
      </c>
      <c r="BK1" t="s">
        <v>137</v>
      </c>
      <c r="BL1" t="s">
        <v>138</v>
      </c>
      <c r="BM1" t="s">
        <v>139</v>
      </c>
      <c r="BN1" t="s">
        <v>140</v>
      </c>
      <c r="BO1" t="s">
        <v>141</v>
      </c>
    </row>
    <row r="2" spans="1:67">
      <c r="X2" t="s">
        <v>142</v>
      </c>
      <c r="AB2" t="s">
        <v>143</v>
      </c>
      <c r="AC2" t="s">
        <v>144</v>
      </c>
    </row>
    <row r="3" spans="1:67">
      <c r="A3" s="1" t="s">
        <v>2</v>
      </c>
    </row>
    <row r="4" spans="1:67" hidden="1">
      <c r="A4" t="s">
        <v>3</v>
      </c>
      <c r="C4" s="12"/>
      <c r="D4" t="s">
        <v>4</v>
      </c>
      <c r="E4" s="10"/>
      <c r="F4" s="10"/>
      <c r="G4" s="10"/>
      <c r="H4" s="11"/>
      <c r="I4" s="11"/>
      <c r="J4" t="s">
        <v>4</v>
      </c>
      <c r="K4" s="10"/>
      <c r="L4" s="10"/>
      <c r="M4" s="10"/>
      <c r="N4" s="11"/>
      <c r="O4" s="11"/>
      <c r="P4" t="s">
        <v>4</v>
      </c>
      <c r="Q4" s="10"/>
      <c r="R4" s="10"/>
      <c r="S4" s="10"/>
      <c r="T4" s="11"/>
      <c r="U4" s="11"/>
      <c r="V4" t="s">
        <v>4</v>
      </c>
      <c r="W4" s="10"/>
      <c r="X4" s="12"/>
      <c r="Y4" s="10"/>
      <c r="Z4" s="10"/>
      <c r="AA4" s="11"/>
      <c r="AB4" s="12"/>
      <c r="AC4" s="12"/>
      <c r="AD4" s="11"/>
      <c r="AE4" t="s">
        <v>4</v>
      </c>
      <c r="AF4" s="10"/>
      <c r="AG4" s="10"/>
      <c r="AH4" s="10"/>
      <c r="AI4" s="11"/>
      <c r="AJ4" s="11"/>
      <c r="AK4" t="s">
        <v>4</v>
      </c>
      <c r="AL4" s="10"/>
      <c r="AM4" s="10"/>
      <c r="AN4" s="10"/>
      <c r="AO4" s="11"/>
      <c r="AP4" s="11"/>
      <c r="AQ4" t="s">
        <v>4</v>
      </c>
      <c r="AR4" s="10"/>
      <c r="AS4" s="10"/>
      <c r="AT4" s="10"/>
      <c r="AU4" s="11"/>
      <c r="AV4" s="11"/>
      <c r="AW4" t="s">
        <v>4</v>
      </c>
      <c r="AX4" s="10"/>
      <c r="AY4" s="10"/>
      <c r="AZ4" s="10"/>
      <c r="BA4" s="11"/>
      <c r="BB4" s="11"/>
      <c r="BC4" s="12"/>
      <c r="BG4">
        <f>COUNTIF(D4:BC4, "rSLUH*")</f>
        <v>0</v>
      </c>
      <c r="BH4">
        <f>COUNTIF(D4:BC4, "rVA*")</f>
        <v>0</v>
      </c>
      <c r="BI4">
        <f>COUNTIF(D4:BC4, "rMICU*")</f>
        <v>0</v>
      </c>
      <c r="BJ4">
        <f>COUNTIF(D4:BC4, "rNF*")</f>
        <v>0</v>
      </c>
      <c r="BK4">
        <f>COUNTIF(D4:BC4, "bro*")</f>
        <v>0</v>
      </c>
      <c r="BL4">
        <f>COUNTIF(D4:BC4, "rCar*")</f>
        <v>0</v>
      </c>
      <c r="BM4">
        <f>COUNTIF(D4:BC4, "ID*")</f>
        <v>0</v>
      </c>
      <c r="BN4">
        <f>COUNTIF(D4:BC4, "jeopardy")</f>
        <v>0</v>
      </c>
    </row>
    <row r="5" spans="1:67" hidden="1">
      <c r="A5" t="s">
        <v>5</v>
      </c>
      <c r="C5" s="12"/>
      <c r="D5" s="11"/>
      <c r="E5" t="s">
        <v>4</v>
      </c>
      <c r="F5" s="10"/>
      <c r="G5" s="10"/>
      <c r="H5" s="10"/>
      <c r="I5" s="11"/>
      <c r="J5" s="11"/>
      <c r="K5" t="s">
        <v>4</v>
      </c>
      <c r="L5" s="10"/>
      <c r="M5" s="10"/>
      <c r="N5" s="10"/>
      <c r="O5" s="11"/>
      <c r="P5" s="11"/>
      <c r="Q5" t="s">
        <v>4</v>
      </c>
      <c r="R5" s="10"/>
      <c r="S5" s="10"/>
      <c r="T5" s="10"/>
      <c r="U5" s="11"/>
      <c r="V5" s="11"/>
      <c r="W5" t="s">
        <v>4</v>
      </c>
      <c r="X5" s="12"/>
      <c r="Y5" s="10"/>
      <c r="Z5" s="10"/>
      <c r="AA5" s="10"/>
      <c r="AB5" s="12"/>
      <c r="AC5" s="12"/>
      <c r="AD5" s="11"/>
      <c r="AE5" s="11"/>
      <c r="AF5" t="s">
        <v>4</v>
      </c>
      <c r="AG5" s="10"/>
      <c r="AH5" s="10"/>
      <c r="AI5" s="10"/>
      <c r="AJ5" s="11"/>
      <c r="AK5" s="11"/>
      <c r="AL5" t="s">
        <v>4</v>
      </c>
      <c r="AM5" s="10"/>
      <c r="AN5" s="10"/>
      <c r="AO5" s="10"/>
      <c r="AP5" s="11"/>
      <c r="AQ5" s="11"/>
      <c r="AR5" t="s">
        <v>4</v>
      </c>
      <c r="AS5" s="10"/>
      <c r="AT5" s="10"/>
      <c r="AU5" s="10"/>
      <c r="AV5" s="11"/>
      <c r="AW5" s="11"/>
      <c r="AX5" t="s">
        <v>4</v>
      </c>
      <c r="AY5" s="10"/>
      <c r="AZ5" s="10"/>
      <c r="BA5" s="10"/>
      <c r="BB5" s="11"/>
      <c r="BC5" s="12"/>
      <c r="BG5">
        <f t="shared" ref="BG5:BG60" si="0">COUNTIF(D5:BC5, "rSLUH*")</f>
        <v>0</v>
      </c>
      <c r="BH5">
        <f t="shared" ref="BH5:BH60" si="1">COUNTIF(D5:BC5, "rVA*")</f>
        <v>0</v>
      </c>
      <c r="BI5">
        <f t="shared" ref="BI5:BI60" si="2">COUNTIF(D5:BC5, "rMICU*")</f>
        <v>0</v>
      </c>
      <c r="BJ5">
        <f t="shared" ref="BJ5:BJ60" si="3">COUNTIF(D5:BC5, "rNF*")</f>
        <v>0</v>
      </c>
      <c r="BK5">
        <f t="shared" ref="BK5:BK59" si="4">COUNTIF(D5:BC5, "bro*")</f>
        <v>0</v>
      </c>
      <c r="BL5">
        <f t="shared" ref="BL5:BL60" si="5">COUNTIF(D5:BC5, "rCar*")</f>
        <v>0</v>
      </c>
      <c r="BM5">
        <f t="shared" ref="BM5:BM59" si="6">COUNTIF(D5:BC5, "ID*")</f>
        <v>0</v>
      </c>
      <c r="BN5">
        <f t="shared" ref="BN5:BN59" si="7">COUNTIF(D5:BC5, "jeopardy")</f>
        <v>0</v>
      </c>
    </row>
    <row r="6" spans="1:67" hidden="1">
      <c r="A6" t="s">
        <v>6</v>
      </c>
      <c r="C6" s="12"/>
      <c r="D6" s="11"/>
      <c r="E6" s="11"/>
      <c r="F6" t="s">
        <v>4</v>
      </c>
      <c r="G6" s="10"/>
      <c r="H6" s="10"/>
      <c r="I6" s="10"/>
      <c r="J6" s="11"/>
      <c r="K6" s="11"/>
      <c r="L6" t="s">
        <v>4</v>
      </c>
      <c r="M6" s="10"/>
      <c r="N6" s="10"/>
      <c r="O6" s="10"/>
      <c r="P6" s="11"/>
      <c r="Q6" s="11"/>
      <c r="R6" t="s">
        <v>4</v>
      </c>
      <c r="S6" s="10"/>
      <c r="T6" s="10"/>
      <c r="U6" s="10"/>
      <c r="V6" s="11"/>
      <c r="W6" s="11"/>
      <c r="X6" s="12"/>
      <c r="Y6" t="s">
        <v>4</v>
      </c>
      <c r="Z6" s="10"/>
      <c r="AA6" s="10"/>
      <c r="AB6" s="12"/>
      <c r="AC6" s="12"/>
      <c r="AD6" s="10"/>
      <c r="AE6" s="11"/>
      <c r="AF6" s="11"/>
      <c r="AG6" t="s">
        <v>4</v>
      </c>
      <c r="AH6" s="10"/>
      <c r="AI6" s="10"/>
      <c r="AJ6" s="10"/>
      <c r="AK6" s="11"/>
      <c r="AL6" s="11"/>
      <c r="AM6" t="s">
        <v>4</v>
      </c>
      <c r="AN6" s="10"/>
      <c r="AO6" s="10"/>
      <c r="AP6" s="10"/>
      <c r="AQ6" s="11"/>
      <c r="AR6" s="11"/>
      <c r="AS6" t="s">
        <v>4</v>
      </c>
      <c r="AT6" s="10"/>
      <c r="AU6" s="10"/>
      <c r="AV6" s="10"/>
      <c r="AW6" s="11"/>
      <c r="AX6" s="11"/>
      <c r="AY6" t="s">
        <v>4</v>
      </c>
      <c r="AZ6" s="10"/>
      <c r="BA6" s="10"/>
      <c r="BB6" s="10"/>
      <c r="BC6" s="12"/>
      <c r="BG6">
        <f t="shared" si="0"/>
        <v>0</v>
      </c>
      <c r="BH6">
        <f t="shared" si="1"/>
        <v>0</v>
      </c>
      <c r="BI6">
        <f t="shared" si="2"/>
        <v>0</v>
      </c>
      <c r="BJ6">
        <f t="shared" si="3"/>
        <v>0</v>
      </c>
      <c r="BK6">
        <f t="shared" si="4"/>
        <v>0</v>
      </c>
      <c r="BL6">
        <f t="shared" si="5"/>
        <v>0</v>
      </c>
      <c r="BM6">
        <f t="shared" si="6"/>
        <v>0</v>
      </c>
      <c r="BN6">
        <f t="shared" si="7"/>
        <v>0</v>
      </c>
    </row>
    <row r="7" spans="1:67" hidden="1">
      <c r="A7" t="s">
        <v>7</v>
      </c>
      <c r="C7" s="12"/>
      <c r="D7" s="10"/>
      <c r="E7" s="11"/>
      <c r="F7" s="11"/>
      <c r="G7" t="s">
        <v>4</v>
      </c>
      <c r="H7" s="10"/>
      <c r="I7" s="10"/>
      <c r="J7" s="10"/>
      <c r="K7" s="11"/>
      <c r="L7" s="11"/>
      <c r="M7" t="s">
        <v>4</v>
      </c>
      <c r="N7" s="10"/>
      <c r="O7" s="10"/>
      <c r="P7" s="10"/>
      <c r="Q7" s="11"/>
      <c r="R7" s="11"/>
      <c r="S7" t="s">
        <v>4</v>
      </c>
      <c r="T7" s="10"/>
      <c r="U7" s="10"/>
      <c r="V7" s="10"/>
      <c r="W7" s="11"/>
      <c r="X7" s="12"/>
      <c r="Y7" s="11"/>
      <c r="Z7" t="s">
        <v>4</v>
      </c>
      <c r="AA7" s="10"/>
      <c r="AB7" s="12"/>
      <c r="AC7" s="12"/>
      <c r="AD7" s="10"/>
      <c r="AE7" s="10"/>
      <c r="AF7" s="11"/>
      <c r="AG7" s="11"/>
      <c r="AH7" t="s">
        <v>4</v>
      </c>
      <c r="AI7" s="10"/>
      <c r="AJ7" s="10"/>
      <c r="AK7" s="10"/>
      <c r="AL7" s="11"/>
      <c r="AM7" s="11"/>
      <c r="AN7" t="s">
        <v>4</v>
      </c>
      <c r="AO7" s="10"/>
      <c r="AP7" s="10"/>
      <c r="AQ7" s="10"/>
      <c r="AR7" s="11"/>
      <c r="AS7" s="11"/>
      <c r="AT7" t="s">
        <v>4</v>
      </c>
      <c r="AU7" s="10"/>
      <c r="AV7" s="10"/>
      <c r="AW7" s="10"/>
      <c r="AX7" s="11"/>
      <c r="AY7" s="11"/>
      <c r="AZ7" t="s">
        <v>4</v>
      </c>
      <c r="BA7" s="10"/>
      <c r="BB7" s="10"/>
      <c r="BC7" s="12"/>
      <c r="BG7">
        <f t="shared" si="0"/>
        <v>0</v>
      </c>
      <c r="BH7">
        <f t="shared" si="1"/>
        <v>0</v>
      </c>
      <c r="BI7">
        <f t="shared" si="2"/>
        <v>0</v>
      </c>
      <c r="BJ7">
        <f t="shared" si="3"/>
        <v>0</v>
      </c>
      <c r="BK7">
        <f t="shared" si="4"/>
        <v>0</v>
      </c>
      <c r="BL7">
        <f t="shared" si="5"/>
        <v>0</v>
      </c>
      <c r="BM7">
        <f t="shared" si="6"/>
        <v>0</v>
      </c>
      <c r="BN7">
        <f t="shared" si="7"/>
        <v>0</v>
      </c>
    </row>
    <row r="8" spans="1:67" hidden="1">
      <c r="A8" t="s">
        <v>8</v>
      </c>
      <c r="C8" s="12"/>
      <c r="D8" s="10"/>
      <c r="E8" s="10"/>
      <c r="F8" s="11"/>
      <c r="G8" s="11"/>
      <c r="H8" t="s">
        <v>4</v>
      </c>
      <c r="I8" s="10"/>
      <c r="J8" s="10"/>
      <c r="K8" s="10"/>
      <c r="L8" s="11"/>
      <c r="M8" s="11"/>
      <c r="N8" t="s">
        <v>4</v>
      </c>
      <c r="O8" s="10"/>
      <c r="P8" s="10"/>
      <c r="Q8" s="10"/>
      <c r="R8" s="11"/>
      <c r="S8" s="11"/>
      <c r="T8" t="s">
        <v>4</v>
      </c>
      <c r="U8" s="10"/>
      <c r="V8" s="10"/>
      <c r="W8" s="10"/>
      <c r="X8" s="12"/>
      <c r="Y8" s="11"/>
      <c r="Z8" s="11"/>
      <c r="AA8" t="s">
        <v>4</v>
      </c>
      <c r="AB8" s="12"/>
      <c r="AC8" s="12"/>
      <c r="AD8" s="10"/>
      <c r="AE8" s="10"/>
      <c r="AF8" s="10"/>
      <c r="AG8" s="11"/>
      <c r="AH8" s="11"/>
      <c r="AI8" t="s">
        <v>4</v>
      </c>
      <c r="AJ8" s="10"/>
      <c r="AK8" s="10"/>
      <c r="AL8" s="10"/>
      <c r="AM8" s="11"/>
      <c r="AN8" s="11"/>
      <c r="AO8" t="s">
        <v>4</v>
      </c>
      <c r="AP8" s="10"/>
      <c r="AQ8" s="10"/>
      <c r="AR8" s="10"/>
      <c r="AS8" s="11"/>
      <c r="AT8" s="11"/>
      <c r="AU8" t="s">
        <v>4</v>
      </c>
      <c r="AV8" s="10"/>
      <c r="AW8" s="10"/>
      <c r="AX8" s="10"/>
      <c r="AY8" s="11"/>
      <c r="AZ8" s="11"/>
      <c r="BA8" t="s">
        <v>4</v>
      </c>
      <c r="BB8" s="10"/>
      <c r="BC8" s="12"/>
      <c r="BG8">
        <f t="shared" si="0"/>
        <v>0</v>
      </c>
      <c r="BH8">
        <f t="shared" si="1"/>
        <v>0</v>
      </c>
      <c r="BI8">
        <f t="shared" si="2"/>
        <v>0</v>
      </c>
      <c r="BJ8">
        <f t="shared" si="3"/>
        <v>0</v>
      </c>
      <c r="BK8">
        <f t="shared" si="4"/>
        <v>0</v>
      </c>
      <c r="BL8">
        <f t="shared" si="5"/>
        <v>0</v>
      </c>
      <c r="BM8">
        <f t="shared" si="6"/>
        <v>0</v>
      </c>
      <c r="BN8">
        <f t="shared" si="7"/>
        <v>0</v>
      </c>
    </row>
    <row r="9" spans="1:67" hidden="1">
      <c r="A9" t="s">
        <v>9</v>
      </c>
      <c r="C9" s="12"/>
      <c r="D9" s="10"/>
      <c r="E9" s="10"/>
      <c r="F9" s="10"/>
      <c r="G9" s="11"/>
      <c r="H9" s="11"/>
      <c r="I9" t="s">
        <v>4</v>
      </c>
      <c r="J9" s="10"/>
      <c r="K9" s="10"/>
      <c r="L9" s="10"/>
      <c r="M9" s="11"/>
      <c r="N9" s="11"/>
      <c r="O9" t="s">
        <v>4</v>
      </c>
      <c r="P9" s="10"/>
      <c r="Q9" s="10"/>
      <c r="R9" s="10"/>
      <c r="S9" s="11"/>
      <c r="T9" s="11"/>
      <c r="U9" t="s">
        <v>4</v>
      </c>
      <c r="V9" s="10"/>
      <c r="W9" s="10"/>
      <c r="X9" s="12"/>
      <c r="Y9" s="10"/>
      <c r="Z9" s="11"/>
      <c r="AA9" s="11"/>
      <c r="AB9" s="12"/>
      <c r="AC9" s="12"/>
      <c r="AD9" t="s">
        <v>4</v>
      </c>
      <c r="AE9" s="10"/>
      <c r="AF9" s="10"/>
      <c r="AG9" s="10"/>
      <c r="AH9" s="11"/>
      <c r="AI9" s="11"/>
      <c r="AJ9" t="s">
        <v>4</v>
      </c>
      <c r="AK9" s="10"/>
      <c r="AL9" s="10"/>
      <c r="AM9" s="10"/>
      <c r="AN9" s="11"/>
      <c r="AO9" s="11"/>
      <c r="AP9" t="s">
        <v>4</v>
      </c>
      <c r="AQ9" s="10"/>
      <c r="AR9" s="10"/>
      <c r="AS9" s="10"/>
      <c r="AT9" s="11"/>
      <c r="AU9" s="11"/>
      <c r="AV9" t="s">
        <v>4</v>
      </c>
      <c r="AW9" s="10"/>
      <c r="AX9" s="10"/>
      <c r="AY9" s="10"/>
      <c r="AZ9" s="11"/>
      <c r="BA9" s="11"/>
      <c r="BB9" t="s">
        <v>4</v>
      </c>
      <c r="BC9" s="12"/>
      <c r="BG9">
        <f t="shared" si="0"/>
        <v>0</v>
      </c>
      <c r="BH9">
        <f t="shared" si="1"/>
        <v>0</v>
      </c>
      <c r="BI9">
        <f t="shared" si="2"/>
        <v>0</v>
      </c>
      <c r="BJ9">
        <f t="shared" si="3"/>
        <v>0</v>
      </c>
      <c r="BK9">
        <f t="shared" si="4"/>
        <v>0</v>
      </c>
      <c r="BL9">
        <f t="shared" si="5"/>
        <v>0</v>
      </c>
      <c r="BM9">
        <f t="shared" si="6"/>
        <v>0</v>
      </c>
      <c r="BN9">
        <f t="shared" si="7"/>
        <v>0</v>
      </c>
    </row>
    <row r="10" spans="1:67" hidden="1">
      <c r="A10" t="s">
        <v>10</v>
      </c>
      <c r="C10" s="12"/>
      <c r="D10" t="s">
        <v>4</v>
      </c>
      <c r="E10" s="10"/>
      <c r="F10" s="10"/>
      <c r="G10" s="10"/>
      <c r="H10" s="11"/>
      <c r="I10" s="11"/>
      <c r="J10" t="s">
        <v>4</v>
      </c>
      <c r="K10" s="10"/>
      <c r="L10" s="10"/>
      <c r="M10" s="10"/>
      <c r="N10" s="11"/>
      <c r="O10" s="11"/>
      <c r="P10" t="s">
        <v>4</v>
      </c>
      <c r="Q10" s="10"/>
      <c r="R10" s="10"/>
      <c r="S10" s="10"/>
      <c r="T10" s="11"/>
      <c r="U10" s="11"/>
      <c r="V10" t="s">
        <v>4</v>
      </c>
      <c r="W10" s="10"/>
      <c r="X10" s="12"/>
      <c r="Y10" s="10"/>
      <c r="Z10" s="10"/>
      <c r="AA10" s="11"/>
      <c r="AB10" s="12"/>
      <c r="AC10" s="12"/>
      <c r="AD10" s="11"/>
      <c r="AE10" t="s">
        <v>4</v>
      </c>
      <c r="AF10" s="10"/>
      <c r="AG10" s="10"/>
      <c r="AH10" s="10"/>
      <c r="AI10" s="11"/>
      <c r="AJ10" s="11"/>
      <c r="AK10" t="s">
        <v>4</v>
      </c>
      <c r="AL10" s="10"/>
      <c r="AM10" s="10"/>
      <c r="AN10" s="10"/>
      <c r="AO10" s="11"/>
      <c r="AP10" s="11"/>
      <c r="AQ10" t="s">
        <v>4</v>
      </c>
      <c r="AR10" s="10"/>
      <c r="AS10" s="10"/>
      <c r="AT10" s="10"/>
      <c r="AU10" s="11"/>
      <c r="AV10" s="11"/>
      <c r="AW10" t="s">
        <v>4</v>
      </c>
      <c r="AX10" s="10"/>
      <c r="AY10" s="10"/>
      <c r="AZ10" s="10"/>
      <c r="BA10" s="11"/>
      <c r="BB10" s="11"/>
      <c r="BC10" s="12"/>
      <c r="BG10">
        <f t="shared" si="0"/>
        <v>0</v>
      </c>
      <c r="BH10">
        <f t="shared" si="1"/>
        <v>0</v>
      </c>
      <c r="BI10">
        <f t="shared" si="2"/>
        <v>0</v>
      </c>
      <c r="BJ10">
        <f t="shared" si="3"/>
        <v>0</v>
      </c>
      <c r="BK10">
        <f t="shared" si="4"/>
        <v>0</v>
      </c>
      <c r="BL10">
        <f t="shared" si="5"/>
        <v>0</v>
      </c>
      <c r="BM10">
        <f t="shared" si="6"/>
        <v>0</v>
      </c>
      <c r="BN10">
        <f t="shared" si="7"/>
        <v>0</v>
      </c>
    </row>
    <row r="11" spans="1:67" hidden="1">
      <c r="A11" t="s">
        <v>11</v>
      </c>
      <c r="C11" s="12"/>
      <c r="D11" s="11"/>
      <c r="E11" t="s">
        <v>4</v>
      </c>
      <c r="F11" s="10"/>
      <c r="G11" s="10"/>
      <c r="H11" s="10"/>
      <c r="I11" s="11"/>
      <c r="J11" s="11"/>
      <c r="K11" t="s">
        <v>4</v>
      </c>
      <c r="L11" s="10"/>
      <c r="M11" s="10"/>
      <c r="N11" s="10"/>
      <c r="O11" s="11"/>
      <c r="P11" s="11"/>
      <c r="Q11" t="s">
        <v>4</v>
      </c>
      <c r="R11" s="10"/>
      <c r="S11" s="10"/>
      <c r="T11" s="10"/>
      <c r="U11" s="11"/>
      <c r="V11" s="11"/>
      <c r="W11" t="s">
        <v>4</v>
      </c>
      <c r="X11" s="12"/>
      <c r="Y11" s="10"/>
      <c r="Z11" s="10"/>
      <c r="AA11" s="10"/>
      <c r="AB11" s="12"/>
      <c r="AC11" s="12"/>
      <c r="AD11" s="11"/>
      <c r="AE11" s="11"/>
      <c r="AF11" t="s">
        <v>4</v>
      </c>
      <c r="AG11" s="10"/>
      <c r="AH11" s="10"/>
      <c r="AI11" s="10"/>
      <c r="AJ11" s="11"/>
      <c r="AK11" s="11"/>
      <c r="AL11" t="s">
        <v>4</v>
      </c>
      <c r="AM11" s="10"/>
      <c r="AN11" s="10"/>
      <c r="AO11" s="10"/>
      <c r="AP11" s="11"/>
      <c r="AQ11" s="11"/>
      <c r="AR11" t="s">
        <v>4</v>
      </c>
      <c r="AS11" s="10"/>
      <c r="AT11" s="10"/>
      <c r="AU11" s="10"/>
      <c r="AV11" s="11"/>
      <c r="AW11" s="11"/>
      <c r="AX11" t="s">
        <v>4</v>
      </c>
      <c r="AY11" s="10"/>
      <c r="AZ11" s="10"/>
      <c r="BA11" s="10"/>
      <c r="BB11" s="11"/>
      <c r="BC11" s="12"/>
      <c r="BG11">
        <f t="shared" si="0"/>
        <v>0</v>
      </c>
      <c r="BH11">
        <f t="shared" si="1"/>
        <v>0</v>
      </c>
      <c r="BI11">
        <f t="shared" si="2"/>
        <v>0</v>
      </c>
      <c r="BJ11">
        <f t="shared" si="3"/>
        <v>0</v>
      </c>
      <c r="BK11">
        <f t="shared" si="4"/>
        <v>0</v>
      </c>
      <c r="BL11">
        <f t="shared" si="5"/>
        <v>0</v>
      </c>
      <c r="BM11">
        <f t="shared" si="6"/>
        <v>0</v>
      </c>
      <c r="BN11">
        <f t="shared" si="7"/>
        <v>0</v>
      </c>
    </row>
    <row r="12" spans="1:67" hidden="1">
      <c r="A12" t="s">
        <v>12</v>
      </c>
      <c r="C12" s="12"/>
      <c r="D12" s="11"/>
      <c r="E12" s="11"/>
      <c r="F12" t="s">
        <v>4</v>
      </c>
      <c r="G12" s="10"/>
      <c r="H12" s="10"/>
      <c r="I12" s="10"/>
      <c r="J12" s="11"/>
      <c r="K12" s="11"/>
      <c r="L12" t="s">
        <v>4</v>
      </c>
      <c r="M12" s="10"/>
      <c r="N12" s="10"/>
      <c r="O12" s="10"/>
      <c r="P12" s="11"/>
      <c r="Q12" s="11"/>
      <c r="R12" t="s">
        <v>4</v>
      </c>
      <c r="S12" s="10"/>
      <c r="T12" s="10"/>
      <c r="U12" s="10"/>
      <c r="V12" s="11"/>
      <c r="W12" s="11"/>
      <c r="X12" s="12"/>
      <c r="Y12" t="s">
        <v>4</v>
      </c>
      <c r="Z12" s="10"/>
      <c r="AA12" s="10"/>
      <c r="AB12" s="12"/>
      <c r="AC12" s="12"/>
      <c r="AD12" s="10"/>
      <c r="AE12" s="11"/>
      <c r="AF12" s="11"/>
      <c r="AG12" t="s">
        <v>4</v>
      </c>
      <c r="AH12" s="10"/>
      <c r="AI12" s="10"/>
      <c r="AJ12" s="10"/>
      <c r="AK12" s="11"/>
      <c r="AL12" s="11"/>
      <c r="AM12" t="s">
        <v>4</v>
      </c>
      <c r="AN12" s="10"/>
      <c r="AO12" s="10"/>
      <c r="AP12" s="10"/>
      <c r="AQ12" s="11"/>
      <c r="AR12" s="11"/>
      <c r="AS12" t="s">
        <v>4</v>
      </c>
      <c r="AT12" s="10"/>
      <c r="AU12" s="10"/>
      <c r="AV12" s="10"/>
      <c r="AW12" s="11"/>
      <c r="AX12" s="11"/>
      <c r="AY12" t="s">
        <v>4</v>
      </c>
      <c r="AZ12" s="10"/>
      <c r="BA12" s="10"/>
      <c r="BB12" s="10"/>
      <c r="BC12" s="12"/>
      <c r="BG12">
        <f t="shared" si="0"/>
        <v>0</v>
      </c>
      <c r="BH12">
        <f t="shared" si="1"/>
        <v>0</v>
      </c>
      <c r="BI12">
        <f t="shared" si="2"/>
        <v>0</v>
      </c>
      <c r="BJ12">
        <f t="shared" si="3"/>
        <v>0</v>
      </c>
      <c r="BK12">
        <f t="shared" si="4"/>
        <v>0</v>
      </c>
      <c r="BL12">
        <f t="shared" si="5"/>
        <v>0</v>
      </c>
      <c r="BM12">
        <f t="shared" si="6"/>
        <v>0</v>
      </c>
      <c r="BN12">
        <f t="shared" si="7"/>
        <v>0</v>
      </c>
    </row>
    <row r="13" spans="1:67" hidden="1">
      <c r="A13" t="s">
        <v>13</v>
      </c>
      <c r="C13" s="12"/>
      <c r="D13" s="10"/>
      <c r="E13" s="11"/>
      <c r="F13" s="11"/>
      <c r="G13" t="s">
        <v>4</v>
      </c>
      <c r="H13" s="10"/>
      <c r="I13" s="10"/>
      <c r="J13" s="10"/>
      <c r="K13" s="11"/>
      <c r="L13" s="11"/>
      <c r="M13" t="s">
        <v>4</v>
      </c>
      <c r="N13" s="10"/>
      <c r="O13" s="10"/>
      <c r="P13" s="10"/>
      <c r="Q13" s="11"/>
      <c r="R13" s="11"/>
      <c r="S13" t="s">
        <v>4</v>
      </c>
      <c r="T13" s="10"/>
      <c r="U13" s="10"/>
      <c r="V13" s="10"/>
      <c r="W13" s="11"/>
      <c r="X13" s="12"/>
      <c r="Y13" s="11"/>
      <c r="Z13" t="s">
        <v>4</v>
      </c>
      <c r="AA13" s="10"/>
      <c r="AB13" s="12"/>
      <c r="AC13" s="12"/>
      <c r="AD13" s="10"/>
      <c r="AE13" s="10"/>
      <c r="AF13" s="11"/>
      <c r="AG13" s="11"/>
      <c r="AH13" t="s">
        <v>4</v>
      </c>
      <c r="AI13" s="10"/>
      <c r="AJ13" s="10"/>
      <c r="AK13" s="10"/>
      <c r="AL13" s="11"/>
      <c r="AM13" s="11"/>
      <c r="AN13" t="s">
        <v>4</v>
      </c>
      <c r="AO13" s="10"/>
      <c r="AP13" s="10"/>
      <c r="AQ13" s="10"/>
      <c r="AR13" s="11"/>
      <c r="AS13" s="11"/>
      <c r="AT13" t="s">
        <v>4</v>
      </c>
      <c r="AU13" s="10"/>
      <c r="AV13" s="10"/>
      <c r="AW13" s="10"/>
      <c r="AX13" s="11"/>
      <c r="AY13" s="11"/>
      <c r="AZ13" t="s">
        <v>4</v>
      </c>
      <c r="BA13" s="10"/>
      <c r="BB13" s="10"/>
      <c r="BC13" s="12"/>
      <c r="BG13">
        <f t="shared" si="0"/>
        <v>0</v>
      </c>
      <c r="BH13">
        <f t="shared" si="1"/>
        <v>0</v>
      </c>
      <c r="BI13">
        <f t="shared" si="2"/>
        <v>0</v>
      </c>
      <c r="BJ13">
        <f t="shared" si="3"/>
        <v>0</v>
      </c>
      <c r="BK13">
        <f t="shared" si="4"/>
        <v>0</v>
      </c>
      <c r="BL13">
        <f t="shared" si="5"/>
        <v>0</v>
      </c>
      <c r="BM13">
        <f t="shared" si="6"/>
        <v>0</v>
      </c>
      <c r="BN13">
        <f t="shared" si="7"/>
        <v>0</v>
      </c>
    </row>
    <row r="14" spans="1:67" hidden="1">
      <c r="A14" t="s">
        <v>14</v>
      </c>
      <c r="C14" s="12"/>
      <c r="D14" s="10"/>
      <c r="E14" s="10"/>
      <c r="F14" s="11"/>
      <c r="G14" s="11"/>
      <c r="H14" t="s">
        <v>4</v>
      </c>
      <c r="I14" s="10"/>
      <c r="J14" s="10"/>
      <c r="K14" s="10"/>
      <c r="L14" s="11"/>
      <c r="M14" s="11"/>
      <c r="N14" t="s">
        <v>4</v>
      </c>
      <c r="O14" s="10"/>
      <c r="P14" s="10"/>
      <c r="Q14" s="10"/>
      <c r="R14" s="11"/>
      <c r="S14" s="11"/>
      <c r="T14" t="s">
        <v>4</v>
      </c>
      <c r="U14" s="10"/>
      <c r="V14" s="10"/>
      <c r="W14" s="10"/>
      <c r="X14" s="12"/>
      <c r="Y14" s="11"/>
      <c r="Z14" s="11"/>
      <c r="AA14" t="s">
        <v>4</v>
      </c>
      <c r="AB14" s="12"/>
      <c r="AC14" s="12"/>
      <c r="AD14" s="10"/>
      <c r="AE14" s="10"/>
      <c r="AF14" s="10"/>
      <c r="AG14" s="11"/>
      <c r="AH14" s="11"/>
      <c r="AI14" t="s">
        <v>4</v>
      </c>
      <c r="AJ14" s="10"/>
      <c r="AK14" s="10"/>
      <c r="AL14" s="10"/>
      <c r="AM14" s="11"/>
      <c r="AN14" s="11"/>
      <c r="AO14" t="s">
        <v>4</v>
      </c>
      <c r="AP14" s="10"/>
      <c r="AQ14" s="10"/>
      <c r="AR14" s="10"/>
      <c r="AS14" s="11"/>
      <c r="AT14" s="11"/>
      <c r="AU14" t="s">
        <v>4</v>
      </c>
      <c r="AV14" s="10"/>
      <c r="AW14" s="10"/>
      <c r="AX14" s="10"/>
      <c r="AY14" s="11"/>
      <c r="AZ14" s="11"/>
      <c r="BA14" t="s">
        <v>4</v>
      </c>
      <c r="BB14" s="10"/>
      <c r="BC14" s="12"/>
      <c r="BG14">
        <f t="shared" si="0"/>
        <v>0</v>
      </c>
      <c r="BH14">
        <f t="shared" si="1"/>
        <v>0</v>
      </c>
      <c r="BI14">
        <f t="shared" si="2"/>
        <v>0</v>
      </c>
      <c r="BJ14">
        <f t="shared" si="3"/>
        <v>0</v>
      </c>
      <c r="BK14">
        <f t="shared" si="4"/>
        <v>0</v>
      </c>
      <c r="BL14">
        <f t="shared" si="5"/>
        <v>0</v>
      </c>
      <c r="BM14">
        <f t="shared" si="6"/>
        <v>0</v>
      </c>
      <c r="BN14">
        <f t="shared" si="7"/>
        <v>0</v>
      </c>
    </row>
    <row r="15" spans="1:67" hidden="1">
      <c r="A15" t="s">
        <v>15</v>
      </c>
      <c r="C15" s="12"/>
      <c r="D15" s="10"/>
      <c r="E15" s="10"/>
      <c r="F15" s="10"/>
      <c r="G15" s="11"/>
      <c r="H15" s="11"/>
      <c r="I15" t="s">
        <v>4</v>
      </c>
      <c r="J15" s="10"/>
      <c r="K15" s="10"/>
      <c r="L15" s="10"/>
      <c r="M15" s="11"/>
      <c r="N15" s="11"/>
      <c r="O15" t="s">
        <v>4</v>
      </c>
      <c r="P15" s="10"/>
      <c r="Q15" s="10"/>
      <c r="R15" s="10"/>
      <c r="S15" s="11"/>
      <c r="T15" s="11"/>
      <c r="U15" t="s">
        <v>4</v>
      </c>
      <c r="V15" s="10"/>
      <c r="W15" s="10"/>
      <c r="X15" s="12"/>
      <c r="Y15" s="10"/>
      <c r="Z15" s="11"/>
      <c r="AA15" s="11"/>
      <c r="AB15" s="12"/>
      <c r="AC15" s="12"/>
      <c r="AD15" t="s">
        <v>4</v>
      </c>
      <c r="AE15" s="10"/>
      <c r="AF15" s="10"/>
      <c r="AG15" s="10"/>
      <c r="AH15" s="11"/>
      <c r="AI15" s="11"/>
      <c r="AJ15" t="s">
        <v>4</v>
      </c>
      <c r="AK15" s="10"/>
      <c r="AL15" s="10"/>
      <c r="AM15" s="10"/>
      <c r="AN15" s="11"/>
      <c r="AO15" s="11"/>
      <c r="AP15" t="s">
        <v>4</v>
      </c>
      <c r="AQ15" s="10"/>
      <c r="AR15" s="10"/>
      <c r="AS15" s="10"/>
      <c r="AT15" s="11"/>
      <c r="AU15" s="11"/>
      <c r="AV15" t="s">
        <v>4</v>
      </c>
      <c r="AW15" s="10"/>
      <c r="AX15" s="10"/>
      <c r="AY15" s="10"/>
      <c r="AZ15" s="11"/>
      <c r="BA15" s="11"/>
      <c r="BB15" t="s">
        <v>4</v>
      </c>
      <c r="BC15" s="12"/>
      <c r="BG15">
        <f t="shared" si="0"/>
        <v>0</v>
      </c>
      <c r="BH15">
        <f t="shared" si="1"/>
        <v>0</v>
      </c>
      <c r="BI15">
        <f t="shared" si="2"/>
        <v>0</v>
      </c>
      <c r="BJ15">
        <f t="shared" si="3"/>
        <v>0</v>
      </c>
      <c r="BK15">
        <f t="shared" si="4"/>
        <v>0</v>
      </c>
      <c r="BL15">
        <f t="shared" si="5"/>
        <v>0</v>
      </c>
      <c r="BM15">
        <f t="shared" si="6"/>
        <v>0</v>
      </c>
      <c r="BN15">
        <f t="shared" si="7"/>
        <v>0</v>
      </c>
    </row>
    <row r="16" spans="1:67" hidden="1">
      <c r="A16" t="s">
        <v>16</v>
      </c>
      <c r="C16" s="12"/>
      <c r="D16" t="s">
        <v>4</v>
      </c>
      <c r="E16" s="10"/>
      <c r="F16" s="10"/>
      <c r="G16" s="10"/>
      <c r="H16" s="11"/>
      <c r="I16" s="11"/>
      <c r="J16" t="s">
        <v>4</v>
      </c>
      <c r="K16" s="10"/>
      <c r="L16" s="10"/>
      <c r="M16" s="10"/>
      <c r="N16" s="11"/>
      <c r="O16" s="11"/>
      <c r="P16" t="s">
        <v>4</v>
      </c>
      <c r="Q16" s="10"/>
      <c r="R16" s="10"/>
      <c r="S16" s="10"/>
      <c r="T16" s="11"/>
      <c r="U16" s="11"/>
      <c r="V16" t="s">
        <v>4</v>
      </c>
      <c r="W16" s="10"/>
      <c r="X16" s="12"/>
      <c r="Y16" s="10"/>
      <c r="Z16" s="10"/>
      <c r="AA16" s="11"/>
      <c r="AB16" s="12"/>
      <c r="AC16" s="12"/>
      <c r="AD16" s="11"/>
      <c r="AE16" t="s">
        <v>4</v>
      </c>
      <c r="AF16" s="10"/>
      <c r="AG16" s="10"/>
      <c r="AH16" s="10"/>
      <c r="AI16" s="11"/>
      <c r="AJ16" s="11"/>
      <c r="AK16" t="s">
        <v>4</v>
      </c>
      <c r="AL16" s="10"/>
      <c r="AM16" s="10"/>
      <c r="AN16" s="10"/>
      <c r="AO16" s="11"/>
      <c r="AP16" s="11"/>
      <c r="AQ16" t="s">
        <v>4</v>
      </c>
      <c r="AR16" s="10"/>
      <c r="AS16" s="10"/>
      <c r="AT16" s="10"/>
      <c r="AU16" s="11"/>
      <c r="AV16" s="11"/>
      <c r="AW16" t="s">
        <v>4</v>
      </c>
      <c r="AX16" s="10"/>
      <c r="AY16" s="10"/>
      <c r="AZ16" s="10"/>
      <c r="BA16" s="11"/>
      <c r="BB16" s="11"/>
      <c r="BC16" s="12"/>
      <c r="BG16">
        <f t="shared" si="0"/>
        <v>0</v>
      </c>
      <c r="BH16">
        <f t="shared" si="1"/>
        <v>0</v>
      </c>
      <c r="BI16">
        <f t="shared" si="2"/>
        <v>0</v>
      </c>
      <c r="BJ16">
        <f t="shared" si="3"/>
        <v>0</v>
      </c>
      <c r="BK16">
        <f t="shared" si="4"/>
        <v>0</v>
      </c>
      <c r="BL16">
        <f t="shared" si="5"/>
        <v>0</v>
      </c>
      <c r="BM16">
        <f t="shared" si="6"/>
        <v>0</v>
      </c>
      <c r="BN16">
        <f t="shared" si="7"/>
        <v>0</v>
      </c>
    </row>
    <row r="17" spans="1:66" hidden="1">
      <c r="A17" t="s">
        <v>17</v>
      </c>
      <c r="C17" s="12"/>
      <c r="D17" s="11"/>
      <c r="E17" t="s">
        <v>4</v>
      </c>
      <c r="F17" s="10"/>
      <c r="G17" s="10"/>
      <c r="H17" s="10"/>
      <c r="I17" s="11"/>
      <c r="J17" s="11"/>
      <c r="K17" t="s">
        <v>4</v>
      </c>
      <c r="L17" s="10"/>
      <c r="M17" s="10"/>
      <c r="N17" s="10"/>
      <c r="O17" s="11"/>
      <c r="P17" s="11"/>
      <c r="Q17" t="s">
        <v>4</v>
      </c>
      <c r="R17" s="10"/>
      <c r="S17" s="10"/>
      <c r="T17" s="10"/>
      <c r="U17" s="11"/>
      <c r="V17" s="11"/>
      <c r="W17" t="s">
        <v>4</v>
      </c>
      <c r="X17" s="12"/>
      <c r="Y17" s="10"/>
      <c r="Z17" s="10"/>
      <c r="AA17" s="10"/>
      <c r="AB17" s="12"/>
      <c r="AC17" s="12"/>
      <c r="AD17" s="11"/>
      <c r="AE17" s="11"/>
      <c r="AF17" t="s">
        <v>4</v>
      </c>
      <c r="AG17" s="10"/>
      <c r="AH17" s="10"/>
      <c r="AI17" s="10"/>
      <c r="AJ17" s="11"/>
      <c r="AK17" s="11"/>
      <c r="AL17" t="s">
        <v>4</v>
      </c>
      <c r="AM17" s="10"/>
      <c r="AN17" s="10"/>
      <c r="AO17" s="10"/>
      <c r="AP17" s="11"/>
      <c r="AQ17" s="11"/>
      <c r="AR17" t="s">
        <v>4</v>
      </c>
      <c r="AS17" s="10"/>
      <c r="AT17" s="10"/>
      <c r="AU17" s="10"/>
      <c r="AV17" s="11"/>
      <c r="AW17" s="11"/>
      <c r="AX17" t="s">
        <v>4</v>
      </c>
      <c r="AY17" s="10"/>
      <c r="AZ17" s="10"/>
      <c r="BA17" s="10"/>
      <c r="BB17" s="11"/>
      <c r="BC17" s="12"/>
      <c r="BG17">
        <f t="shared" si="0"/>
        <v>0</v>
      </c>
      <c r="BH17">
        <f t="shared" si="1"/>
        <v>0</v>
      </c>
      <c r="BI17">
        <f t="shared" si="2"/>
        <v>0</v>
      </c>
      <c r="BJ17">
        <f t="shared" si="3"/>
        <v>0</v>
      </c>
      <c r="BK17">
        <f t="shared" si="4"/>
        <v>0</v>
      </c>
      <c r="BL17">
        <f t="shared" si="5"/>
        <v>0</v>
      </c>
      <c r="BM17">
        <f t="shared" si="6"/>
        <v>0</v>
      </c>
      <c r="BN17">
        <f t="shared" si="7"/>
        <v>0</v>
      </c>
    </row>
    <row r="18" spans="1:66" hidden="1">
      <c r="A18" t="s">
        <v>18</v>
      </c>
      <c r="C18" s="12"/>
      <c r="D18" s="11"/>
      <c r="E18" s="11"/>
      <c r="F18" t="s">
        <v>4</v>
      </c>
      <c r="G18" s="10"/>
      <c r="H18" s="10"/>
      <c r="I18" s="10"/>
      <c r="J18" s="11"/>
      <c r="K18" s="11"/>
      <c r="L18" t="s">
        <v>4</v>
      </c>
      <c r="M18" s="10"/>
      <c r="N18" s="10"/>
      <c r="O18" s="10"/>
      <c r="P18" s="11"/>
      <c r="Q18" s="11"/>
      <c r="R18" t="s">
        <v>4</v>
      </c>
      <c r="S18" s="10"/>
      <c r="T18" s="10"/>
      <c r="U18" s="10"/>
      <c r="V18" s="11"/>
      <c r="W18" s="11"/>
      <c r="X18" s="12"/>
      <c r="Y18" t="s">
        <v>4</v>
      </c>
      <c r="Z18" s="10"/>
      <c r="AA18" s="10"/>
      <c r="AB18" s="12"/>
      <c r="AC18" s="12"/>
      <c r="AD18" s="10"/>
      <c r="AE18" s="11"/>
      <c r="AF18" s="11"/>
      <c r="AG18" t="s">
        <v>4</v>
      </c>
      <c r="AH18" s="10"/>
      <c r="AI18" s="10"/>
      <c r="AJ18" s="10"/>
      <c r="AK18" s="11"/>
      <c r="AL18" s="11"/>
      <c r="AM18" t="s">
        <v>4</v>
      </c>
      <c r="AN18" s="10"/>
      <c r="AO18" s="10"/>
      <c r="AP18" s="10"/>
      <c r="AQ18" s="11"/>
      <c r="AR18" s="11"/>
      <c r="AS18" t="s">
        <v>4</v>
      </c>
      <c r="AT18" s="10"/>
      <c r="AU18" s="10"/>
      <c r="AV18" s="10"/>
      <c r="AW18" s="11"/>
      <c r="AX18" s="11"/>
      <c r="AY18" t="s">
        <v>4</v>
      </c>
      <c r="AZ18" s="10"/>
      <c r="BA18" s="10"/>
      <c r="BB18" s="10"/>
      <c r="BC18" s="12"/>
      <c r="BG18">
        <f t="shared" si="0"/>
        <v>0</v>
      </c>
      <c r="BH18">
        <f t="shared" si="1"/>
        <v>0</v>
      </c>
      <c r="BI18">
        <f t="shared" si="2"/>
        <v>0</v>
      </c>
      <c r="BJ18">
        <f t="shared" si="3"/>
        <v>0</v>
      </c>
      <c r="BK18">
        <f t="shared" si="4"/>
        <v>0</v>
      </c>
      <c r="BL18">
        <f t="shared" si="5"/>
        <v>0</v>
      </c>
      <c r="BM18">
        <f t="shared" si="6"/>
        <v>0</v>
      </c>
      <c r="BN18">
        <f t="shared" si="7"/>
        <v>0</v>
      </c>
    </row>
    <row r="19" spans="1:66" hidden="1">
      <c r="A19" t="s">
        <v>19</v>
      </c>
      <c r="C19" s="12"/>
      <c r="D19" s="10"/>
      <c r="E19" s="11"/>
      <c r="F19" s="11"/>
      <c r="G19" t="s">
        <v>4</v>
      </c>
      <c r="H19" s="10"/>
      <c r="I19" s="10"/>
      <c r="J19" s="10"/>
      <c r="K19" s="11"/>
      <c r="L19" s="11"/>
      <c r="M19" t="s">
        <v>4</v>
      </c>
      <c r="N19" s="10"/>
      <c r="O19" s="10"/>
      <c r="P19" s="10"/>
      <c r="Q19" s="11"/>
      <c r="R19" s="11"/>
      <c r="S19" t="s">
        <v>4</v>
      </c>
      <c r="T19" s="10"/>
      <c r="U19" s="10"/>
      <c r="V19" s="10"/>
      <c r="W19" s="11"/>
      <c r="X19" s="12"/>
      <c r="Y19" s="11"/>
      <c r="Z19" t="s">
        <v>4</v>
      </c>
      <c r="AA19" s="10"/>
      <c r="AB19" s="12"/>
      <c r="AC19" s="12"/>
      <c r="AD19" s="10"/>
      <c r="AE19" s="10"/>
      <c r="AF19" s="11"/>
      <c r="AG19" s="11"/>
      <c r="AH19" t="s">
        <v>4</v>
      </c>
      <c r="AI19" s="10"/>
      <c r="AJ19" s="10"/>
      <c r="AK19" s="10"/>
      <c r="AL19" s="11"/>
      <c r="AM19" s="11"/>
      <c r="AN19" t="s">
        <v>4</v>
      </c>
      <c r="AO19" s="10"/>
      <c r="AP19" s="10"/>
      <c r="AQ19" s="10"/>
      <c r="AR19" s="11"/>
      <c r="AS19" s="11"/>
      <c r="AT19" t="s">
        <v>4</v>
      </c>
      <c r="AU19" s="10"/>
      <c r="AV19" s="10"/>
      <c r="AW19" s="10"/>
      <c r="AX19" s="11"/>
      <c r="AY19" s="11"/>
      <c r="AZ19" t="s">
        <v>4</v>
      </c>
      <c r="BA19" s="10"/>
      <c r="BB19" s="10"/>
      <c r="BC19" s="12"/>
      <c r="BG19">
        <f t="shared" si="0"/>
        <v>0</v>
      </c>
      <c r="BH19">
        <f t="shared" si="1"/>
        <v>0</v>
      </c>
      <c r="BI19">
        <f t="shared" si="2"/>
        <v>0</v>
      </c>
      <c r="BJ19">
        <f t="shared" si="3"/>
        <v>0</v>
      </c>
      <c r="BK19">
        <f t="shared" si="4"/>
        <v>0</v>
      </c>
      <c r="BL19">
        <f t="shared" si="5"/>
        <v>0</v>
      </c>
      <c r="BM19">
        <f t="shared" si="6"/>
        <v>0</v>
      </c>
      <c r="BN19">
        <f t="shared" si="7"/>
        <v>0</v>
      </c>
    </row>
    <row r="20" spans="1:66" hidden="1">
      <c r="A20" t="s">
        <v>20</v>
      </c>
      <c r="C20" s="12"/>
      <c r="D20" s="10"/>
      <c r="E20" s="10"/>
      <c r="F20" s="11"/>
      <c r="G20" s="11"/>
      <c r="H20" t="s">
        <v>4</v>
      </c>
      <c r="I20" s="10"/>
      <c r="J20" s="10"/>
      <c r="K20" s="10"/>
      <c r="L20" s="11"/>
      <c r="M20" s="11"/>
      <c r="N20" t="s">
        <v>4</v>
      </c>
      <c r="O20" s="10"/>
      <c r="P20" s="10"/>
      <c r="Q20" s="10"/>
      <c r="R20" s="11"/>
      <c r="S20" s="11"/>
      <c r="T20" t="s">
        <v>4</v>
      </c>
      <c r="U20" s="10"/>
      <c r="V20" s="10"/>
      <c r="W20" s="10"/>
      <c r="X20" s="12"/>
      <c r="Y20" s="11"/>
      <c r="Z20" s="11"/>
      <c r="AA20" t="s">
        <v>4</v>
      </c>
      <c r="AB20" s="12"/>
      <c r="AC20" s="12"/>
      <c r="AD20" s="10"/>
      <c r="AE20" s="10"/>
      <c r="AF20" s="10"/>
      <c r="AG20" s="11"/>
      <c r="AH20" s="11"/>
      <c r="AI20" t="s">
        <v>4</v>
      </c>
      <c r="AJ20" s="10"/>
      <c r="AK20" s="10"/>
      <c r="AL20" s="10"/>
      <c r="AM20" s="11"/>
      <c r="AN20" s="11"/>
      <c r="AO20" t="s">
        <v>4</v>
      </c>
      <c r="AP20" s="10"/>
      <c r="AQ20" s="10"/>
      <c r="AR20" s="10"/>
      <c r="AS20" s="11"/>
      <c r="AT20" s="11"/>
      <c r="AU20" t="s">
        <v>4</v>
      </c>
      <c r="AV20" s="10"/>
      <c r="AW20" s="10"/>
      <c r="AX20" s="10"/>
      <c r="AY20" s="11"/>
      <c r="AZ20" s="11"/>
      <c r="BA20" t="s">
        <v>4</v>
      </c>
      <c r="BB20" s="10"/>
      <c r="BC20" s="12"/>
      <c r="BG20">
        <f t="shared" si="0"/>
        <v>0</v>
      </c>
      <c r="BH20">
        <f t="shared" si="1"/>
        <v>0</v>
      </c>
      <c r="BI20">
        <f t="shared" si="2"/>
        <v>0</v>
      </c>
      <c r="BJ20">
        <f t="shared" si="3"/>
        <v>0</v>
      </c>
      <c r="BK20">
        <f t="shared" si="4"/>
        <v>0</v>
      </c>
      <c r="BL20">
        <f t="shared" si="5"/>
        <v>0</v>
      </c>
      <c r="BM20">
        <f t="shared" si="6"/>
        <v>0</v>
      </c>
      <c r="BN20">
        <f t="shared" si="7"/>
        <v>0</v>
      </c>
    </row>
    <row r="21" spans="1:66" hidden="1">
      <c r="A21" t="s">
        <v>21</v>
      </c>
      <c r="C21" s="12"/>
      <c r="D21" s="10"/>
      <c r="E21" s="10"/>
      <c r="F21" s="10"/>
      <c r="G21" s="11"/>
      <c r="H21" s="11"/>
      <c r="I21" t="s">
        <v>4</v>
      </c>
      <c r="J21" s="10"/>
      <c r="K21" s="10"/>
      <c r="L21" s="10"/>
      <c r="M21" s="11"/>
      <c r="N21" s="11"/>
      <c r="O21" t="s">
        <v>4</v>
      </c>
      <c r="P21" s="10"/>
      <c r="Q21" s="10"/>
      <c r="R21" s="10"/>
      <c r="S21" s="11"/>
      <c r="T21" s="11"/>
      <c r="U21" t="s">
        <v>4</v>
      </c>
      <c r="V21" s="10"/>
      <c r="W21" s="10"/>
      <c r="X21" s="12"/>
      <c r="Y21" s="10"/>
      <c r="Z21" s="11"/>
      <c r="AA21" s="11"/>
      <c r="AB21" s="12"/>
      <c r="AC21" s="12"/>
      <c r="AD21" t="s">
        <v>4</v>
      </c>
      <c r="AE21" s="10"/>
      <c r="AF21" s="10"/>
      <c r="AG21" s="10"/>
      <c r="AH21" s="11"/>
      <c r="AI21" s="11"/>
      <c r="AJ21" t="s">
        <v>4</v>
      </c>
      <c r="AK21" s="10"/>
      <c r="AL21" s="10"/>
      <c r="AM21" s="10"/>
      <c r="AN21" s="11"/>
      <c r="AO21" s="11"/>
      <c r="AP21" t="s">
        <v>4</v>
      </c>
      <c r="AQ21" s="10"/>
      <c r="AR21" s="10"/>
      <c r="AS21" s="10"/>
      <c r="AT21" s="11"/>
      <c r="AU21" s="11"/>
      <c r="AV21" t="s">
        <v>4</v>
      </c>
      <c r="AW21" s="10"/>
      <c r="AX21" s="10"/>
      <c r="AY21" s="10"/>
      <c r="AZ21" s="11"/>
      <c r="BA21" s="11"/>
      <c r="BB21" t="s">
        <v>4</v>
      </c>
      <c r="BC21" s="12"/>
      <c r="BG21">
        <f t="shared" si="0"/>
        <v>0</v>
      </c>
      <c r="BH21">
        <f t="shared" si="1"/>
        <v>0</v>
      </c>
      <c r="BI21">
        <f t="shared" si="2"/>
        <v>0</v>
      </c>
      <c r="BJ21">
        <f t="shared" si="3"/>
        <v>0</v>
      </c>
      <c r="BK21">
        <f t="shared" si="4"/>
        <v>0</v>
      </c>
      <c r="BL21">
        <f t="shared" si="5"/>
        <v>0</v>
      </c>
      <c r="BM21">
        <f t="shared" si="6"/>
        <v>0</v>
      </c>
      <c r="BN21">
        <f t="shared" si="7"/>
        <v>0</v>
      </c>
    </row>
    <row r="22" spans="1:66" hidden="1">
      <c r="A22" t="s">
        <v>22</v>
      </c>
      <c r="C22" s="12"/>
      <c r="D22" t="s">
        <v>4</v>
      </c>
      <c r="E22" s="10"/>
      <c r="F22" s="10"/>
      <c r="G22" s="10"/>
      <c r="H22" s="11"/>
      <c r="I22" s="11"/>
      <c r="J22" t="s">
        <v>4</v>
      </c>
      <c r="K22" s="10"/>
      <c r="L22" s="10"/>
      <c r="M22" s="10"/>
      <c r="N22" s="11"/>
      <c r="O22" s="11"/>
      <c r="P22" t="s">
        <v>4</v>
      </c>
      <c r="Q22" s="10"/>
      <c r="R22" s="10"/>
      <c r="S22" s="10"/>
      <c r="T22" s="11"/>
      <c r="U22" s="11"/>
      <c r="V22" t="s">
        <v>4</v>
      </c>
      <c r="W22" s="10"/>
      <c r="X22" s="12"/>
      <c r="Y22" s="10"/>
      <c r="Z22" s="10"/>
      <c r="AA22" s="11"/>
      <c r="AB22" s="12"/>
      <c r="AC22" s="12"/>
      <c r="AD22" s="11"/>
      <c r="AE22" t="s">
        <v>4</v>
      </c>
      <c r="AF22" s="10"/>
      <c r="AG22" s="10"/>
      <c r="AH22" s="10"/>
      <c r="AI22" s="11"/>
      <c r="AJ22" s="11"/>
      <c r="AK22" t="s">
        <v>4</v>
      </c>
      <c r="AL22" s="10"/>
      <c r="AM22" s="10"/>
      <c r="AN22" s="10"/>
      <c r="AO22" s="11"/>
      <c r="AP22" s="11"/>
      <c r="AQ22" t="s">
        <v>4</v>
      </c>
      <c r="AR22" s="10"/>
      <c r="AS22" s="10"/>
      <c r="AT22" s="10"/>
      <c r="AU22" s="11"/>
      <c r="AV22" s="11"/>
      <c r="AW22" t="s">
        <v>4</v>
      </c>
      <c r="AX22" s="10"/>
      <c r="AY22" s="10"/>
      <c r="AZ22" s="10"/>
      <c r="BA22" s="11"/>
      <c r="BB22" s="11"/>
      <c r="BC22" s="12"/>
      <c r="BG22">
        <f t="shared" si="0"/>
        <v>0</v>
      </c>
      <c r="BH22">
        <f t="shared" si="1"/>
        <v>0</v>
      </c>
      <c r="BI22">
        <f t="shared" si="2"/>
        <v>0</v>
      </c>
      <c r="BJ22">
        <f t="shared" si="3"/>
        <v>0</v>
      </c>
      <c r="BK22">
        <f t="shared" si="4"/>
        <v>0</v>
      </c>
      <c r="BL22">
        <f t="shared" si="5"/>
        <v>0</v>
      </c>
      <c r="BM22">
        <f t="shared" si="6"/>
        <v>0</v>
      </c>
      <c r="BN22">
        <f t="shared" si="7"/>
        <v>0</v>
      </c>
    </row>
    <row r="23" spans="1:66" hidden="1">
      <c r="A23" t="s">
        <v>23</v>
      </c>
      <c r="C23" s="12"/>
      <c r="D23" s="11"/>
      <c r="E23" t="s">
        <v>4</v>
      </c>
      <c r="F23" s="10"/>
      <c r="G23" s="10"/>
      <c r="H23" s="10"/>
      <c r="I23" s="11"/>
      <c r="J23" s="11"/>
      <c r="K23" t="s">
        <v>4</v>
      </c>
      <c r="L23" s="10"/>
      <c r="M23" s="10"/>
      <c r="N23" s="10"/>
      <c r="O23" s="11"/>
      <c r="P23" s="11"/>
      <c r="Q23" t="s">
        <v>4</v>
      </c>
      <c r="R23" s="10"/>
      <c r="S23" s="10"/>
      <c r="T23" s="10"/>
      <c r="U23" s="11"/>
      <c r="V23" s="11"/>
      <c r="W23" t="s">
        <v>4</v>
      </c>
      <c r="X23" s="12"/>
      <c r="Y23" s="10"/>
      <c r="Z23" s="10"/>
      <c r="AA23" s="10"/>
      <c r="AB23" s="12"/>
      <c r="AC23" s="12"/>
      <c r="AD23" s="11"/>
      <c r="AE23" s="11"/>
      <c r="AF23" t="s">
        <v>4</v>
      </c>
      <c r="AG23" s="10"/>
      <c r="AH23" s="10"/>
      <c r="AI23" s="10"/>
      <c r="AJ23" s="11"/>
      <c r="AK23" s="11"/>
      <c r="AL23" t="s">
        <v>4</v>
      </c>
      <c r="AM23" s="10"/>
      <c r="AN23" s="10"/>
      <c r="AO23" s="10"/>
      <c r="AP23" s="11"/>
      <c r="AQ23" s="11"/>
      <c r="AR23" t="s">
        <v>4</v>
      </c>
      <c r="AS23" s="10"/>
      <c r="AT23" s="10"/>
      <c r="AU23" s="10"/>
      <c r="AV23" s="11"/>
      <c r="AW23" s="11"/>
      <c r="AX23" t="s">
        <v>4</v>
      </c>
      <c r="AY23" s="10"/>
      <c r="AZ23" s="10"/>
      <c r="BA23" s="10"/>
      <c r="BB23" s="11"/>
      <c r="BC23" s="12"/>
      <c r="BG23">
        <f t="shared" si="0"/>
        <v>0</v>
      </c>
      <c r="BH23">
        <f t="shared" si="1"/>
        <v>0</v>
      </c>
      <c r="BI23">
        <f t="shared" si="2"/>
        <v>0</v>
      </c>
      <c r="BJ23">
        <f t="shared" si="3"/>
        <v>0</v>
      </c>
      <c r="BK23">
        <f t="shared" si="4"/>
        <v>0</v>
      </c>
      <c r="BL23">
        <f t="shared" si="5"/>
        <v>0</v>
      </c>
      <c r="BM23">
        <f t="shared" si="6"/>
        <v>0</v>
      </c>
      <c r="BN23">
        <f t="shared" si="7"/>
        <v>0</v>
      </c>
    </row>
    <row r="24" spans="1:66" hidden="1">
      <c r="A24" t="s">
        <v>24</v>
      </c>
      <c r="C24" s="12"/>
      <c r="D24" s="11"/>
      <c r="E24" s="11"/>
      <c r="F24" t="s">
        <v>4</v>
      </c>
      <c r="G24" s="10"/>
      <c r="H24" s="10"/>
      <c r="I24" s="10"/>
      <c r="J24" s="11"/>
      <c r="K24" s="11"/>
      <c r="L24" t="s">
        <v>4</v>
      </c>
      <c r="M24" s="10"/>
      <c r="N24" s="10"/>
      <c r="O24" s="10"/>
      <c r="P24" s="11"/>
      <c r="Q24" s="11"/>
      <c r="R24" t="s">
        <v>4</v>
      </c>
      <c r="S24" s="10"/>
      <c r="T24" s="10"/>
      <c r="U24" s="10"/>
      <c r="V24" s="11"/>
      <c r="W24" s="11"/>
      <c r="X24" s="12"/>
      <c r="Y24" t="s">
        <v>4</v>
      </c>
      <c r="Z24" s="10"/>
      <c r="AA24" s="10"/>
      <c r="AB24" s="12"/>
      <c r="AC24" s="12"/>
      <c r="AD24" s="10"/>
      <c r="AE24" s="11"/>
      <c r="AF24" s="11"/>
      <c r="AG24" t="s">
        <v>4</v>
      </c>
      <c r="AH24" s="10"/>
      <c r="AI24" s="10"/>
      <c r="AJ24" s="10"/>
      <c r="AK24" s="11"/>
      <c r="AL24" s="11"/>
      <c r="AM24" t="s">
        <v>4</v>
      </c>
      <c r="AN24" s="10"/>
      <c r="AO24" s="10"/>
      <c r="AP24" s="10"/>
      <c r="AQ24" s="11"/>
      <c r="AR24" s="11"/>
      <c r="AS24" t="s">
        <v>4</v>
      </c>
      <c r="AT24" s="10"/>
      <c r="AU24" s="10"/>
      <c r="AV24" s="10"/>
      <c r="AW24" s="11"/>
      <c r="AX24" s="11"/>
      <c r="AY24" t="s">
        <v>4</v>
      </c>
      <c r="AZ24" s="10"/>
      <c r="BA24" s="10"/>
      <c r="BB24" s="10"/>
      <c r="BC24" s="12"/>
      <c r="BG24">
        <f t="shared" si="0"/>
        <v>0</v>
      </c>
      <c r="BH24">
        <f t="shared" si="1"/>
        <v>0</v>
      </c>
      <c r="BI24">
        <f t="shared" si="2"/>
        <v>0</v>
      </c>
      <c r="BJ24">
        <f t="shared" si="3"/>
        <v>0</v>
      </c>
      <c r="BK24">
        <f t="shared" si="4"/>
        <v>0</v>
      </c>
      <c r="BL24">
        <f t="shared" si="5"/>
        <v>0</v>
      </c>
      <c r="BM24">
        <f t="shared" si="6"/>
        <v>0</v>
      </c>
      <c r="BN24">
        <f t="shared" si="7"/>
        <v>0</v>
      </c>
    </row>
    <row r="25" spans="1:66" hidden="1">
      <c r="A25" t="s">
        <v>25</v>
      </c>
      <c r="C25" s="12"/>
      <c r="D25" s="10"/>
      <c r="E25" s="11"/>
      <c r="F25" s="11"/>
      <c r="G25" t="s">
        <v>4</v>
      </c>
      <c r="H25" s="10"/>
      <c r="I25" s="10"/>
      <c r="J25" s="10"/>
      <c r="K25" s="11"/>
      <c r="L25" s="11"/>
      <c r="M25" t="s">
        <v>4</v>
      </c>
      <c r="N25" s="10"/>
      <c r="O25" s="10"/>
      <c r="P25" s="10"/>
      <c r="Q25" s="11"/>
      <c r="R25" s="11"/>
      <c r="S25" t="s">
        <v>4</v>
      </c>
      <c r="T25" s="10"/>
      <c r="U25" s="10"/>
      <c r="V25" s="10"/>
      <c r="W25" s="11"/>
      <c r="X25" s="12"/>
      <c r="Y25" s="11"/>
      <c r="Z25" t="s">
        <v>4</v>
      </c>
      <c r="AA25" s="10"/>
      <c r="AB25" s="12"/>
      <c r="AC25" s="12"/>
      <c r="AD25" s="10"/>
      <c r="AE25" s="10"/>
      <c r="AF25" s="11"/>
      <c r="AG25" s="11"/>
      <c r="AH25" t="s">
        <v>4</v>
      </c>
      <c r="AI25" s="10"/>
      <c r="AJ25" s="10"/>
      <c r="AK25" s="10"/>
      <c r="AL25" s="11"/>
      <c r="AM25" s="11"/>
      <c r="AN25" t="s">
        <v>4</v>
      </c>
      <c r="AO25" s="10"/>
      <c r="AP25" s="10"/>
      <c r="AQ25" s="10"/>
      <c r="AR25" s="11"/>
      <c r="AS25" s="11"/>
      <c r="AT25" t="s">
        <v>4</v>
      </c>
      <c r="AU25" s="10"/>
      <c r="AV25" s="10"/>
      <c r="AW25" s="10"/>
      <c r="AX25" s="11"/>
      <c r="AY25" s="11"/>
      <c r="AZ25" t="s">
        <v>4</v>
      </c>
      <c r="BA25" s="10"/>
      <c r="BB25" s="10"/>
      <c r="BC25" s="12"/>
      <c r="BG25">
        <f t="shared" si="0"/>
        <v>0</v>
      </c>
      <c r="BH25">
        <f t="shared" si="1"/>
        <v>0</v>
      </c>
      <c r="BI25">
        <f t="shared" si="2"/>
        <v>0</v>
      </c>
      <c r="BJ25">
        <f t="shared" si="3"/>
        <v>0</v>
      </c>
      <c r="BK25">
        <f t="shared" si="4"/>
        <v>0</v>
      </c>
      <c r="BL25">
        <f t="shared" si="5"/>
        <v>0</v>
      </c>
      <c r="BM25">
        <f t="shared" si="6"/>
        <v>0</v>
      </c>
      <c r="BN25">
        <f t="shared" si="7"/>
        <v>0</v>
      </c>
    </row>
    <row r="26" spans="1:66" hidden="1">
      <c r="A26" t="s">
        <v>26</v>
      </c>
      <c r="C26" s="12"/>
      <c r="D26" s="10"/>
      <c r="E26" s="10"/>
      <c r="F26" s="11"/>
      <c r="G26" s="11"/>
      <c r="H26" t="s">
        <v>4</v>
      </c>
      <c r="I26" s="10"/>
      <c r="J26" s="10"/>
      <c r="K26" s="10"/>
      <c r="L26" s="11"/>
      <c r="M26" s="11"/>
      <c r="N26" t="s">
        <v>4</v>
      </c>
      <c r="O26" s="10"/>
      <c r="P26" s="10"/>
      <c r="Q26" s="10"/>
      <c r="R26" s="11"/>
      <c r="S26" s="11"/>
      <c r="T26" t="s">
        <v>4</v>
      </c>
      <c r="U26" s="10"/>
      <c r="V26" s="10"/>
      <c r="W26" s="10"/>
      <c r="X26" s="12"/>
      <c r="Y26" s="11"/>
      <c r="Z26" s="11"/>
      <c r="AA26" t="s">
        <v>4</v>
      </c>
      <c r="AB26" s="12"/>
      <c r="AC26" s="12"/>
      <c r="AD26" s="10"/>
      <c r="AE26" s="10"/>
      <c r="AF26" s="10"/>
      <c r="AG26" s="11"/>
      <c r="AH26" s="11"/>
      <c r="AI26" t="s">
        <v>4</v>
      </c>
      <c r="AJ26" s="10"/>
      <c r="AK26" s="10"/>
      <c r="AL26" s="10"/>
      <c r="AM26" s="11"/>
      <c r="AN26" s="11"/>
      <c r="AO26" t="s">
        <v>4</v>
      </c>
      <c r="AP26" s="10"/>
      <c r="AQ26" s="10"/>
      <c r="AR26" s="10"/>
      <c r="AS26" s="11"/>
      <c r="AT26" s="11"/>
      <c r="AU26" t="s">
        <v>4</v>
      </c>
      <c r="AV26" s="10"/>
      <c r="AW26" s="10"/>
      <c r="AX26" s="10"/>
      <c r="AY26" s="11"/>
      <c r="AZ26" s="11"/>
      <c r="BA26" t="s">
        <v>4</v>
      </c>
      <c r="BB26" s="10"/>
      <c r="BC26" s="12"/>
      <c r="BG26">
        <f t="shared" si="0"/>
        <v>0</v>
      </c>
      <c r="BH26">
        <f t="shared" si="1"/>
        <v>0</v>
      </c>
      <c r="BI26">
        <f t="shared" si="2"/>
        <v>0</v>
      </c>
      <c r="BJ26">
        <f t="shared" si="3"/>
        <v>0</v>
      </c>
      <c r="BK26">
        <f t="shared" si="4"/>
        <v>0</v>
      </c>
      <c r="BL26">
        <f t="shared" si="5"/>
        <v>0</v>
      </c>
      <c r="BM26">
        <f t="shared" si="6"/>
        <v>0</v>
      </c>
      <c r="BN26">
        <f t="shared" si="7"/>
        <v>0</v>
      </c>
    </row>
    <row r="27" spans="1:66" hidden="1">
      <c r="A27" t="s">
        <v>27</v>
      </c>
      <c r="C27" s="12"/>
      <c r="D27" s="10"/>
      <c r="E27" s="10"/>
      <c r="F27" s="10"/>
      <c r="G27" s="11"/>
      <c r="H27" s="11"/>
      <c r="I27" t="s">
        <v>4</v>
      </c>
      <c r="J27" s="10"/>
      <c r="K27" s="10"/>
      <c r="L27" s="10"/>
      <c r="M27" s="11"/>
      <c r="N27" s="11"/>
      <c r="O27" t="s">
        <v>4</v>
      </c>
      <c r="P27" s="10"/>
      <c r="Q27" s="10"/>
      <c r="R27" s="10"/>
      <c r="S27" s="11"/>
      <c r="T27" s="11"/>
      <c r="U27" t="s">
        <v>4</v>
      </c>
      <c r="V27" s="10"/>
      <c r="W27" s="10"/>
      <c r="X27" s="12"/>
      <c r="Y27" s="10"/>
      <c r="Z27" s="11"/>
      <c r="AA27" s="11"/>
      <c r="AB27" s="12"/>
      <c r="AC27" s="12"/>
      <c r="AD27" t="s">
        <v>4</v>
      </c>
      <c r="AE27" s="10"/>
      <c r="AF27" s="10"/>
      <c r="AG27" s="10"/>
      <c r="AH27" s="11"/>
      <c r="AI27" s="11"/>
      <c r="AJ27" t="s">
        <v>4</v>
      </c>
      <c r="AK27" s="10"/>
      <c r="AL27" s="10"/>
      <c r="AM27" s="10"/>
      <c r="AN27" s="11"/>
      <c r="AO27" s="11"/>
      <c r="AP27" t="s">
        <v>4</v>
      </c>
      <c r="AQ27" s="10"/>
      <c r="AR27" s="10"/>
      <c r="AS27" s="10"/>
      <c r="AT27" s="11"/>
      <c r="AU27" s="11"/>
      <c r="AV27" t="s">
        <v>4</v>
      </c>
      <c r="AW27" s="10"/>
      <c r="AX27" s="10"/>
      <c r="AY27" s="10"/>
      <c r="AZ27" s="11"/>
      <c r="BA27" s="11"/>
      <c r="BB27" t="s">
        <v>4</v>
      </c>
      <c r="BC27" s="12"/>
      <c r="BG27">
        <f t="shared" si="0"/>
        <v>0</v>
      </c>
      <c r="BH27">
        <f t="shared" si="1"/>
        <v>0</v>
      </c>
      <c r="BI27">
        <f t="shared" si="2"/>
        <v>0</v>
      </c>
      <c r="BJ27">
        <f t="shared" si="3"/>
        <v>0</v>
      </c>
      <c r="BK27">
        <f t="shared" si="4"/>
        <v>0</v>
      </c>
      <c r="BL27">
        <f t="shared" si="5"/>
        <v>0</v>
      </c>
      <c r="BM27">
        <f t="shared" si="6"/>
        <v>0</v>
      </c>
      <c r="BN27">
        <f t="shared" si="7"/>
        <v>0</v>
      </c>
    </row>
    <row r="28" spans="1:66" hidden="1">
      <c r="A28" t="s">
        <v>28</v>
      </c>
      <c r="C28" s="12"/>
      <c r="D28" t="s">
        <v>4</v>
      </c>
      <c r="E28" s="10"/>
      <c r="F28" s="10"/>
      <c r="G28" s="10"/>
      <c r="H28" s="11"/>
      <c r="I28" s="11"/>
      <c r="J28" t="s">
        <v>4</v>
      </c>
      <c r="K28" s="10"/>
      <c r="L28" s="10"/>
      <c r="M28" s="10"/>
      <c r="N28" s="11"/>
      <c r="O28" s="11"/>
      <c r="P28" t="s">
        <v>4</v>
      </c>
      <c r="Q28" s="10"/>
      <c r="R28" s="10"/>
      <c r="S28" s="10"/>
      <c r="T28" s="11"/>
      <c r="U28" s="11"/>
      <c r="V28" t="s">
        <v>4</v>
      </c>
      <c r="W28" s="10"/>
      <c r="X28" s="12"/>
      <c r="Y28" s="10"/>
      <c r="Z28" s="10"/>
      <c r="AA28" s="11"/>
      <c r="AB28" s="12"/>
      <c r="AC28" s="12"/>
      <c r="AD28" s="11"/>
      <c r="AE28" t="s">
        <v>4</v>
      </c>
      <c r="AF28" s="10"/>
      <c r="AG28" s="10"/>
      <c r="AH28" s="10"/>
      <c r="AI28" s="11"/>
      <c r="AJ28" s="11"/>
      <c r="AK28" t="s">
        <v>4</v>
      </c>
      <c r="AL28" s="10"/>
      <c r="AM28" s="10"/>
      <c r="AN28" s="10"/>
      <c r="AO28" s="11"/>
      <c r="AP28" s="11"/>
      <c r="AQ28" t="s">
        <v>4</v>
      </c>
      <c r="AR28" s="10"/>
      <c r="AS28" s="10"/>
      <c r="AT28" s="10"/>
      <c r="AU28" s="11"/>
      <c r="AV28" s="11"/>
      <c r="AW28" t="s">
        <v>4</v>
      </c>
      <c r="AX28" s="10"/>
      <c r="AY28" s="10"/>
      <c r="AZ28" s="10"/>
      <c r="BA28" s="11"/>
      <c r="BB28" s="11"/>
      <c r="BC28" s="12"/>
      <c r="BG28">
        <f t="shared" si="0"/>
        <v>0</v>
      </c>
      <c r="BH28">
        <f t="shared" si="1"/>
        <v>0</v>
      </c>
      <c r="BI28">
        <f t="shared" si="2"/>
        <v>0</v>
      </c>
      <c r="BJ28">
        <f t="shared" si="3"/>
        <v>0</v>
      </c>
      <c r="BK28">
        <f t="shared" si="4"/>
        <v>0</v>
      </c>
      <c r="BL28">
        <f t="shared" si="5"/>
        <v>0</v>
      </c>
      <c r="BM28">
        <f t="shared" si="6"/>
        <v>0</v>
      </c>
      <c r="BN28">
        <f t="shared" si="7"/>
        <v>0</v>
      </c>
    </row>
    <row r="29" spans="1:66" hidden="1">
      <c r="A29" t="s">
        <v>29</v>
      </c>
      <c r="C29" s="12"/>
      <c r="D29" s="11"/>
      <c r="E29" t="s">
        <v>4</v>
      </c>
      <c r="F29" s="10"/>
      <c r="G29" s="10"/>
      <c r="H29" s="10"/>
      <c r="I29" s="11"/>
      <c r="J29" s="11"/>
      <c r="K29" t="s">
        <v>4</v>
      </c>
      <c r="L29" s="10"/>
      <c r="M29" s="10"/>
      <c r="N29" s="10"/>
      <c r="O29" s="11"/>
      <c r="P29" s="11"/>
      <c r="Q29" t="s">
        <v>4</v>
      </c>
      <c r="R29" s="10"/>
      <c r="S29" s="10"/>
      <c r="T29" s="10"/>
      <c r="U29" s="11"/>
      <c r="V29" s="11"/>
      <c r="W29" t="s">
        <v>4</v>
      </c>
      <c r="X29" s="12"/>
      <c r="Y29" s="10"/>
      <c r="Z29" s="10"/>
      <c r="AA29" s="10"/>
      <c r="AB29" s="12"/>
      <c r="AC29" s="12"/>
      <c r="AD29" s="11"/>
      <c r="AE29" s="11"/>
      <c r="AF29" t="s">
        <v>4</v>
      </c>
      <c r="AG29" s="10"/>
      <c r="AH29" s="10"/>
      <c r="AI29" s="10"/>
      <c r="AJ29" s="11"/>
      <c r="AK29" s="11"/>
      <c r="AL29" t="s">
        <v>4</v>
      </c>
      <c r="AM29" s="10"/>
      <c r="AN29" s="10"/>
      <c r="AO29" s="10"/>
      <c r="AP29" s="11"/>
      <c r="AQ29" s="11"/>
      <c r="AR29" t="s">
        <v>4</v>
      </c>
      <c r="AS29" s="10"/>
      <c r="AT29" s="10"/>
      <c r="AU29" s="10"/>
      <c r="AV29" s="11"/>
      <c r="AW29" s="11"/>
      <c r="AX29" t="s">
        <v>4</v>
      </c>
      <c r="AY29" s="10"/>
      <c r="AZ29" s="10"/>
      <c r="BA29" s="10"/>
      <c r="BB29" s="11"/>
      <c r="BC29" s="12"/>
      <c r="BG29">
        <f t="shared" si="0"/>
        <v>0</v>
      </c>
      <c r="BH29">
        <f t="shared" si="1"/>
        <v>0</v>
      </c>
      <c r="BI29">
        <f t="shared" si="2"/>
        <v>0</v>
      </c>
      <c r="BJ29">
        <f t="shared" si="3"/>
        <v>0</v>
      </c>
      <c r="BK29">
        <f t="shared" si="4"/>
        <v>0</v>
      </c>
      <c r="BL29">
        <f t="shared" si="5"/>
        <v>0</v>
      </c>
      <c r="BM29">
        <f t="shared" si="6"/>
        <v>0</v>
      </c>
      <c r="BN29">
        <f t="shared" si="7"/>
        <v>0</v>
      </c>
    </row>
    <row r="30" spans="1:66" hidden="1">
      <c r="A30" t="s">
        <v>30</v>
      </c>
      <c r="C30" s="12"/>
      <c r="D30" s="11"/>
      <c r="E30" s="11"/>
      <c r="F30" t="s">
        <v>4</v>
      </c>
      <c r="G30" s="10"/>
      <c r="H30" s="10"/>
      <c r="I30" s="10"/>
      <c r="J30" s="11"/>
      <c r="K30" s="11"/>
      <c r="L30" t="s">
        <v>4</v>
      </c>
      <c r="M30" s="10"/>
      <c r="N30" s="10"/>
      <c r="O30" s="10"/>
      <c r="P30" s="11"/>
      <c r="Q30" s="11"/>
      <c r="R30" t="s">
        <v>4</v>
      </c>
      <c r="S30" s="10"/>
      <c r="T30" s="10"/>
      <c r="U30" s="10"/>
      <c r="V30" s="11"/>
      <c r="W30" s="11"/>
      <c r="X30" s="12"/>
      <c r="Y30" t="s">
        <v>4</v>
      </c>
      <c r="Z30" s="10"/>
      <c r="AA30" s="10"/>
      <c r="AB30" s="12"/>
      <c r="AC30" s="12"/>
      <c r="AD30" s="10"/>
      <c r="AE30" s="11"/>
      <c r="AF30" s="11"/>
      <c r="AG30" t="s">
        <v>4</v>
      </c>
      <c r="AH30" s="10"/>
      <c r="AI30" s="10"/>
      <c r="AJ30" s="10"/>
      <c r="AK30" s="11"/>
      <c r="AL30" s="11"/>
      <c r="AM30" t="s">
        <v>4</v>
      </c>
      <c r="AN30" s="10"/>
      <c r="AO30" s="10"/>
      <c r="AP30" s="10"/>
      <c r="AQ30" s="11"/>
      <c r="AR30" s="11"/>
      <c r="AS30" t="s">
        <v>4</v>
      </c>
      <c r="AT30" s="10"/>
      <c r="AU30" s="10"/>
      <c r="AV30" s="10"/>
      <c r="AW30" s="11"/>
      <c r="AX30" s="11"/>
      <c r="AY30" t="s">
        <v>4</v>
      </c>
      <c r="AZ30" s="10"/>
      <c r="BA30" s="10"/>
      <c r="BB30" s="10"/>
      <c r="BC30" s="12"/>
      <c r="BG30">
        <f t="shared" si="0"/>
        <v>0</v>
      </c>
      <c r="BH30">
        <f t="shared" si="1"/>
        <v>0</v>
      </c>
      <c r="BI30">
        <f t="shared" si="2"/>
        <v>0</v>
      </c>
      <c r="BJ30">
        <f t="shared" si="3"/>
        <v>0</v>
      </c>
      <c r="BK30">
        <f t="shared" si="4"/>
        <v>0</v>
      </c>
      <c r="BL30">
        <f t="shared" si="5"/>
        <v>0</v>
      </c>
      <c r="BM30">
        <f t="shared" si="6"/>
        <v>0</v>
      </c>
      <c r="BN30">
        <f t="shared" si="7"/>
        <v>0</v>
      </c>
    </row>
    <row r="31" spans="1:66" hidden="1">
      <c r="A31" t="s">
        <v>31</v>
      </c>
      <c r="C31" s="12"/>
      <c r="D31" s="10"/>
      <c r="E31" s="11"/>
      <c r="F31" s="11"/>
      <c r="G31" t="s">
        <v>4</v>
      </c>
      <c r="H31" s="10"/>
      <c r="I31" s="10"/>
      <c r="J31" s="10"/>
      <c r="K31" s="11"/>
      <c r="L31" s="11"/>
      <c r="M31" t="s">
        <v>4</v>
      </c>
      <c r="N31" s="10"/>
      <c r="O31" s="10"/>
      <c r="P31" s="10"/>
      <c r="Q31" s="11"/>
      <c r="R31" s="11"/>
      <c r="S31" t="s">
        <v>4</v>
      </c>
      <c r="T31" s="10"/>
      <c r="U31" s="10"/>
      <c r="V31" s="10"/>
      <c r="W31" s="11"/>
      <c r="X31" s="12"/>
      <c r="Y31" s="11"/>
      <c r="Z31" t="s">
        <v>4</v>
      </c>
      <c r="AA31" s="10"/>
      <c r="AB31" s="12"/>
      <c r="AC31" s="12"/>
      <c r="AD31" s="10"/>
      <c r="AE31" s="10"/>
      <c r="AF31" s="11"/>
      <c r="AG31" s="11"/>
      <c r="AH31" t="s">
        <v>4</v>
      </c>
      <c r="AI31" s="10"/>
      <c r="AJ31" s="10"/>
      <c r="AK31" s="10"/>
      <c r="AL31" s="11"/>
      <c r="AM31" s="11"/>
      <c r="AN31" t="s">
        <v>4</v>
      </c>
      <c r="AO31" s="10"/>
      <c r="AP31" s="10"/>
      <c r="AQ31" s="10"/>
      <c r="AR31" s="11"/>
      <c r="AS31" s="11"/>
      <c r="AT31" t="s">
        <v>4</v>
      </c>
      <c r="AU31" s="10"/>
      <c r="AV31" s="10"/>
      <c r="AW31" s="10"/>
      <c r="AX31" s="11"/>
      <c r="AY31" s="11"/>
      <c r="AZ31" t="s">
        <v>4</v>
      </c>
      <c r="BA31" s="10"/>
      <c r="BB31" s="10"/>
      <c r="BC31" s="12"/>
      <c r="BG31">
        <f t="shared" si="0"/>
        <v>0</v>
      </c>
      <c r="BH31">
        <f t="shared" si="1"/>
        <v>0</v>
      </c>
      <c r="BI31">
        <f t="shared" si="2"/>
        <v>0</v>
      </c>
      <c r="BJ31">
        <f t="shared" si="3"/>
        <v>0</v>
      </c>
      <c r="BK31">
        <f t="shared" si="4"/>
        <v>0</v>
      </c>
      <c r="BL31">
        <f t="shared" si="5"/>
        <v>0</v>
      </c>
      <c r="BM31">
        <f t="shared" si="6"/>
        <v>0</v>
      </c>
      <c r="BN31">
        <f t="shared" si="7"/>
        <v>0</v>
      </c>
    </row>
    <row r="32" spans="1:66" hidden="1">
      <c r="A32" t="s">
        <v>32</v>
      </c>
      <c r="C32" s="12"/>
      <c r="D32" s="10"/>
      <c r="E32" s="10"/>
      <c r="F32" s="11"/>
      <c r="G32" s="11"/>
      <c r="H32" t="s">
        <v>4</v>
      </c>
      <c r="I32" s="10"/>
      <c r="J32" s="10"/>
      <c r="K32" s="10"/>
      <c r="L32" s="11"/>
      <c r="M32" s="11"/>
      <c r="N32" t="s">
        <v>4</v>
      </c>
      <c r="O32" s="10"/>
      <c r="P32" s="10"/>
      <c r="Q32" s="10"/>
      <c r="R32" s="11"/>
      <c r="S32" s="11"/>
      <c r="T32" t="s">
        <v>4</v>
      </c>
      <c r="U32" s="10"/>
      <c r="V32" s="10"/>
      <c r="W32" s="10"/>
      <c r="X32" s="12"/>
      <c r="Y32" s="11"/>
      <c r="Z32" s="11"/>
      <c r="AA32" t="s">
        <v>4</v>
      </c>
      <c r="AB32" s="12"/>
      <c r="AC32" s="12"/>
      <c r="AD32" s="10"/>
      <c r="AE32" s="10"/>
      <c r="AF32" s="10"/>
      <c r="AG32" s="11"/>
      <c r="AH32" s="11"/>
      <c r="AI32" t="s">
        <v>4</v>
      </c>
      <c r="AJ32" s="10"/>
      <c r="AK32" s="10"/>
      <c r="AL32" s="10"/>
      <c r="AM32" s="11"/>
      <c r="AN32" s="11"/>
      <c r="AO32" t="s">
        <v>4</v>
      </c>
      <c r="AP32" s="10"/>
      <c r="AQ32" s="10"/>
      <c r="AR32" s="10"/>
      <c r="AS32" s="11"/>
      <c r="AT32" s="11"/>
      <c r="AU32" t="s">
        <v>4</v>
      </c>
      <c r="AV32" s="10"/>
      <c r="AW32" s="10"/>
      <c r="AX32" s="10"/>
      <c r="AY32" s="11"/>
      <c r="AZ32" s="11"/>
      <c r="BA32" t="s">
        <v>4</v>
      </c>
      <c r="BB32" s="10"/>
      <c r="BC32" s="12"/>
      <c r="BG32">
        <f t="shared" si="0"/>
        <v>0</v>
      </c>
      <c r="BH32">
        <f t="shared" si="1"/>
        <v>0</v>
      </c>
      <c r="BI32">
        <f t="shared" si="2"/>
        <v>0</v>
      </c>
      <c r="BJ32">
        <f t="shared" si="3"/>
        <v>0</v>
      </c>
      <c r="BK32">
        <f t="shared" si="4"/>
        <v>0</v>
      </c>
      <c r="BL32">
        <f t="shared" si="5"/>
        <v>0</v>
      </c>
      <c r="BM32">
        <f t="shared" si="6"/>
        <v>0</v>
      </c>
      <c r="BN32">
        <f t="shared" si="7"/>
        <v>0</v>
      </c>
    </row>
    <row r="33" spans="1:66" hidden="1">
      <c r="A33" t="s">
        <v>33</v>
      </c>
      <c r="C33" s="12"/>
      <c r="D33" s="10"/>
      <c r="E33" s="10"/>
      <c r="F33" s="10"/>
      <c r="G33" s="11"/>
      <c r="H33" s="11"/>
      <c r="I33" t="s">
        <v>4</v>
      </c>
      <c r="J33" s="10"/>
      <c r="K33" s="10"/>
      <c r="L33" s="10"/>
      <c r="M33" s="11"/>
      <c r="N33" s="11"/>
      <c r="O33" t="s">
        <v>4</v>
      </c>
      <c r="P33" s="10"/>
      <c r="Q33" s="10"/>
      <c r="R33" s="10"/>
      <c r="S33" s="11"/>
      <c r="T33" s="11"/>
      <c r="U33" t="s">
        <v>4</v>
      </c>
      <c r="V33" s="10"/>
      <c r="W33" s="10"/>
      <c r="X33" s="12"/>
      <c r="Y33" s="10"/>
      <c r="Z33" s="11"/>
      <c r="AA33" s="11"/>
      <c r="AB33" s="12"/>
      <c r="AC33" s="12"/>
      <c r="AD33" t="s">
        <v>4</v>
      </c>
      <c r="AE33" s="10"/>
      <c r="AF33" s="10"/>
      <c r="AG33" s="10"/>
      <c r="AH33" s="11"/>
      <c r="AI33" s="11"/>
      <c r="AJ33" t="s">
        <v>4</v>
      </c>
      <c r="AK33" s="10"/>
      <c r="AL33" s="10"/>
      <c r="AM33" s="10"/>
      <c r="AN33" s="11"/>
      <c r="AO33" s="11"/>
      <c r="AP33" t="s">
        <v>4</v>
      </c>
      <c r="AQ33" s="10"/>
      <c r="AR33" s="10"/>
      <c r="AS33" s="10"/>
      <c r="AT33" s="11"/>
      <c r="AU33" s="11"/>
      <c r="AV33" t="s">
        <v>4</v>
      </c>
      <c r="AW33" s="10"/>
      <c r="AX33" s="10"/>
      <c r="AY33" s="10"/>
      <c r="AZ33" s="11"/>
      <c r="BA33" s="11"/>
      <c r="BB33" t="s">
        <v>4</v>
      </c>
      <c r="BC33" s="12"/>
      <c r="BG33">
        <f t="shared" si="0"/>
        <v>0</v>
      </c>
      <c r="BH33">
        <f t="shared" si="1"/>
        <v>0</v>
      </c>
      <c r="BI33">
        <f t="shared" si="2"/>
        <v>0</v>
      </c>
      <c r="BJ33">
        <f t="shared" si="3"/>
        <v>0</v>
      </c>
      <c r="BK33">
        <f t="shared" si="4"/>
        <v>0</v>
      </c>
      <c r="BL33">
        <f t="shared" si="5"/>
        <v>0</v>
      </c>
      <c r="BM33">
        <f t="shared" si="6"/>
        <v>0</v>
      </c>
      <c r="BN33">
        <f t="shared" si="7"/>
        <v>0</v>
      </c>
    </row>
    <row r="34" spans="1:66" hidden="1">
      <c r="A34" t="s">
        <v>34</v>
      </c>
      <c r="C34" s="12"/>
      <c r="D34" t="s">
        <v>4</v>
      </c>
      <c r="E34" s="10"/>
      <c r="F34" s="10"/>
      <c r="G34" s="10"/>
      <c r="H34" s="11"/>
      <c r="I34" s="11"/>
      <c r="J34" t="s">
        <v>4</v>
      </c>
      <c r="K34" s="10"/>
      <c r="L34" s="10"/>
      <c r="M34" s="10"/>
      <c r="N34" s="11"/>
      <c r="O34" s="11"/>
      <c r="P34" t="s">
        <v>4</v>
      </c>
      <c r="Q34" s="10"/>
      <c r="R34" s="10"/>
      <c r="S34" s="10"/>
      <c r="T34" s="11"/>
      <c r="U34" s="11"/>
      <c r="V34" t="s">
        <v>4</v>
      </c>
      <c r="W34" s="10"/>
      <c r="X34" s="12"/>
      <c r="Y34" s="10"/>
      <c r="Z34" s="10"/>
      <c r="AA34" s="11"/>
      <c r="AB34" s="12"/>
      <c r="AC34" s="12"/>
      <c r="AD34" s="11"/>
      <c r="AE34" t="s">
        <v>4</v>
      </c>
      <c r="AF34" s="10"/>
      <c r="AG34" s="10"/>
      <c r="AH34" s="10"/>
      <c r="AI34" s="11"/>
      <c r="AJ34" s="11"/>
      <c r="AK34" t="s">
        <v>4</v>
      </c>
      <c r="AL34" s="10"/>
      <c r="AM34" s="10"/>
      <c r="AN34" s="10"/>
      <c r="AO34" s="11"/>
      <c r="AP34" s="11"/>
      <c r="AQ34" t="s">
        <v>4</v>
      </c>
      <c r="AR34" s="10"/>
      <c r="AS34" s="10"/>
      <c r="AT34" s="10"/>
      <c r="AU34" s="11"/>
      <c r="AV34" s="11"/>
      <c r="AW34" t="s">
        <v>4</v>
      </c>
      <c r="AX34" s="10"/>
      <c r="AY34" s="10"/>
      <c r="AZ34" s="10"/>
      <c r="BA34" s="11"/>
      <c r="BB34" s="11"/>
      <c r="BC34" s="12"/>
      <c r="BG34">
        <f t="shared" si="0"/>
        <v>0</v>
      </c>
      <c r="BH34">
        <f t="shared" si="1"/>
        <v>0</v>
      </c>
      <c r="BI34">
        <f t="shared" si="2"/>
        <v>0</v>
      </c>
      <c r="BJ34">
        <f t="shared" si="3"/>
        <v>0</v>
      </c>
      <c r="BK34">
        <f t="shared" si="4"/>
        <v>0</v>
      </c>
      <c r="BL34">
        <f t="shared" si="5"/>
        <v>0</v>
      </c>
      <c r="BM34">
        <f t="shared" si="6"/>
        <v>0</v>
      </c>
      <c r="BN34">
        <f t="shared" si="7"/>
        <v>0</v>
      </c>
    </row>
    <row r="35" spans="1:66" hidden="1">
      <c r="A35" t="s">
        <v>35</v>
      </c>
      <c r="C35" s="12"/>
      <c r="D35" s="11"/>
      <c r="E35" t="s">
        <v>4</v>
      </c>
      <c r="F35" s="10"/>
      <c r="G35" s="10"/>
      <c r="H35" s="10"/>
      <c r="I35" s="11"/>
      <c r="J35" s="11"/>
      <c r="K35" t="s">
        <v>4</v>
      </c>
      <c r="L35" s="10"/>
      <c r="M35" s="10"/>
      <c r="N35" s="10"/>
      <c r="O35" s="11"/>
      <c r="P35" s="11"/>
      <c r="Q35" t="s">
        <v>4</v>
      </c>
      <c r="R35" s="10"/>
      <c r="S35" s="10"/>
      <c r="T35" s="10"/>
      <c r="U35" s="11"/>
      <c r="V35" s="11"/>
      <c r="W35" t="s">
        <v>4</v>
      </c>
      <c r="X35" s="12"/>
      <c r="Y35" s="10"/>
      <c r="Z35" s="10"/>
      <c r="AA35" s="10"/>
      <c r="AB35" s="12"/>
      <c r="AC35" s="12"/>
      <c r="AD35" s="11"/>
      <c r="AE35" s="11"/>
      <c r="AF35" t="s">
        <v>4</v>
      </c>
      <c r="AG35" s="10"/>
      <c r="AH35" s="10"/>
      <c r="AI35" s="10"/>
      <c r="AJ35" s="11"/>
      <c r="AK35" s="11"/>
      <c r="AL35" t="s">
        <v>4</v>
      </c>
      <c r="AM35" s="10"/>
      <c r="AN35" s="10"/>
      <c r="AO35" s="10"/>
      <c r="AP35" s="11"/>
      <c r="AQ35" s="11"/>
      <c r="AR35" t="s">
        <v>4</v>
      </c>
      <c r="AS35" s="10"/>
      <c r="AT35" s="10"/>
      <c r="AU35" s="10"/>
      <c r="AV35" s="11"/>
      <c r="AW35" s="11"/>
      <c r="AX35" t="s">
        <v>4</v>
      </c>
      <c r="AY35" s="10"/>
      <c r="AZ35" s="10"/>
      <c r="BA35" s="10"/>
      <c r="BB35" s="11"/>
      <c r="BC35" s="12"/>
      <c r="BG35">
        <f t="shared" si="0"/>
        <v>0</v>
      </c>
      <c r="BH35">
        <f t="shared" si="1"/>
        <v>0</v>
      </c>
      <c r="BI35">
        <f t="shared" si="2"/>
        <v>0</v>
      </c>
      <c r="BJ35">
        <f t="shared" si="3"/>
        <v>0</v>
      </c>
      <c r="BK35">
        <f t="shared" si="4"/>
        <v>0</v>
      </c>
      <c r="BL35">
        <f t="shared" si="5"/>
        <v>0</v>
      </c>
      <c r="BM35">
        <f t="shared" si="6"/>
        <v>0</v>
      </c>
      <c r="BN35">
        <f t="shared" si="7"/>
        <v>0</v>
      </c>
    </row>
    <row r="36" spans="1:66" hidden="1">
      <c r="A36" t="s">
        <v>36</v>
      </c>
      <c r="C36" s="12"/>
      <c r="D36" s="11"/>
      <c r="E36" s="11"/>
      <c r="F36" t="s">
        <v>4</v>
      </c>
      <c r="G36" s="10"/>
      <c r="H36" s="10"/>
      <c r="I36" s="10"/>
      <c r="J36" s="11"/>
      <c r="K36" s="11"/>
      <c r="L36" t="s">
        <v>4</v>
      </c>
      <c r="M36" s="10"/>
      <c r="N36" s="10"/>
      <c r="O36" s="10"/>
      <c r="P36" s="11"/>
      <c r="Q36" s="11"/>
      <c r="R36" t="s">
        <v>4</v>
      </c>
      <c r="S36" s="10"/>
      <c r="T36" s="10"/>
      <c r="U36" s="10"/>
      <c r="V36" s="11"/>
      <c r="W36" s="11"/>
      <c r="X36" s="12"/>
      <c r="Y36" t="s">
        <v>4</v>
      </c>
      <c r="Z36" s="10"/>
      <c r="AA36" s="10"/>
      <c r="AB36" s="12"/>
      <c r="AC36" s="12"/>
      <c r="AD36" s="10"/>
      <c r="AE36" s="11"/>
      <c r="AF36" s="11"/>
      <c r="AG36" t="s">
        <v>4</v>
      </c>
      <c r="AH36" s="10"/>
      <c r="AI36" s="10"/>
      <c r="AJ36" s="10"/>
      <c r="AK36" s="11"/>
      <c r="AL36" s="11"/>
      <c r="AM36" t="s">
        <v>4</v>
      </c>
      <c r="AN36" s="10"/>
      <c r="AO36" s="10"/>
      <c r="AP36" s="10"/>
      <c r="AQ36" s="11"/>
      <c r="AR36" s="11"/>
      <c r="AS36" t="s">
        <v>4</v>
      </c>
      <c r="AT36" s="10"/>
      <c r="AU36" s="10"/>
      <c r="AV36" s="10"/>
      <c r="AW36" s="11"/>
      <c r="AX36" s="11"/>
      <c r="AY36" t="s">
        <v>4</v>
      </c>
      <c r="AZ36" s="10"/>
      <c r="BA36" s="10"/>
      <c r="BB36" s="10"/>
      <c r="BC36" s="12"/>
      <c r="BG36">
        <f t="shared" si="0"/>
        <v>0</v>
      </c>
      <c r="BH36">
        <f t="shared" si="1"/>
        <v>0</v>
      </c>
      <c r="BI36">
        <f t="shared" si="2"/>
        <v>0</v>
      </c>
      <c r="BJ36">
        <f t="shared" si="3"/>
        <v>0</v>
      </c>
      <c r="BK36">
        <f t="shared" si="4"/>
        <v>0</v>
      </c>
      <c r="BL36">
        <f t="shared" si="5"/>
        <v>0</v>
      </c>
      <c r="BM36">
        <f t="shared" si="6"/>
        <v>0</v>
      </c>
      <c r="BN36">
        <f t="shared" si="7"/>
        <v>0</v>
      </c>
    </row>
    <row r="37" spans="1:66" hidden="1">
      <c r="A37" t="s">
        <v>37</v>
      </c>
      <c r="C37" s="12"/>
      <c r="D37" s="10"/>
      <c r="E37" s="11"/>
      <c r="F37" s="11"/>
      <c r="G37" t="s">
        <v>4</v>
      </c>
      <c r="H37" s="10"/>
      <c r="I37" s="10"/>
      <c r="J37" s="10"/>
      <c r="K37" s="11"/>
      <c r="L37" s="11"/>
      <c r="M37" t="s">
        <v>4</v>
      </c>
      <c r="N37" s="10"/>
      <c r="O37" s="10"/>
      <c r="P37" s="10"/>
      <c r="Q37" s="11"/>
      <c r="R37" s="11"/>
      <c r="S37" t="s">
        <v>4</v>
      </c>
      <c r="T37" s="10"/>
      <c r="U37" s="10"/>
      <c r="V37" s="10"/>
      <c r="W37" s="11"/>
      <c r="X37" s="12"/>
      <c r="Y37" s="11"/>
      <c r="Z37" t="s">
        <v>4</v>
      </c>
      <c r="AA37" s="10"/>
      <c r="AB37" s="12"/>
      <c r="AC37" s="12"/>
      <c r="AD37" s="10"/>
      <c r="AE37" s="10"/>
      <c r="AF37" s="11"/>
      <c r="AG37" s="11"/>
      <c r="AH37" t="s">
        <v>4</v>
      </c>
      <c r="AI37" s="10"/>
      <c r="AJ37" s="10"/>
      <c r="AK37" s="10"/>
      <c r="AL37" s="11"/>
      <c r="AM37" s="11"/>
      <c r="AN37" t="s">
        <v>4</v>
      </c>
      <c r="AO37" s="10"/>
      <c r="AP37" s="10"/>
      <c r="AQ37" s="10"/>
      <c r="AR37" s="11"/>
      <c r="AS37" s="11"/>
      <c r="AT37" t="s">
        <v>4</v>
      </c>
      <c r="AU37" s="10"/>
      <c r="AV37" s="10"/>
      <c r="AW37" s="10"/>
      <c r="AX37" s="11"/>
      <c r="AY37" s="11"/>
      <c r="AZ37" t="s">
        <v>4</v>
      </c>
      <c r="BA37" s="10"/>
      <c r="BB37" s="10"/>
      <c r="BC37" s="12"/>
      <c r="BG37">
        <f t="shared" si="0"/>
        <v>0</v>
      </c>
      <c r="BH37">
        <f t="shared" si="1"/>
        <v>0</v>
      </c>
      <c r="BI37">
        <f t="shared" si="2"/>
        <v>0</v>
      </c>
      <c r="BJ37">
        <f t="shared" si="3"/>
        <v>0</v>
      </c>
      <c r="BK37">
        <f t="shared" si="4"/>
        <v>0</v>
      </c>
      <c r="BL37">
        <f t="shared" si="5"/>
        <v>0</v>
      </c>
      <c r="BM37">
        <f t="shared" si="6"/>
        <v>0</v>
      </c>
      <c r="BN37">
        <f t="shared" si="7"/>
        <v>0</v>
      </c>
    </row>
    <row r="38" spans="1:66" hidden="1">
      <c r="A38" t="s">
        <v>38</v>
      </c>
      <c r="C38" s="12"/>
      <c r="D38" s="10"/>
      <c r="E38" s="10"/>
      <c r="F38" s="11"/>
      <c r="G38" s="11"/>
      <c r="H38" t="s">
        <v>4</v>
      </c>
      <c r="I38" s="10"/>
      <c r="J38" s="10"/>
      <c r="K38" s="10"/>
      <c r="L38" s="11"/>
      <c r="M38" s="11"/>
      <c r="N38" t="s">
        <v>4</v>
      </c>
      <c r="O38" s="10"/>
      <c r="P38" s="10"/>
      <c r="Q38" s="10"/>
      <c r="R38" s="11"/>
      <c r="S38" s="11"/>
      <c r="T38" t="s">
        <v>4</v>
      </c>
      <c r="U38" s="10"/>
      <c r="V38" s="10"/>
      <c r="W38" s="10"/>
      <c r="X38" s="12"/>
      <c r="Y38" s="11"/>
      <c r="Z38" s="11"/>
      <c r="AA38" t="s">
        <v>4</v>
      </c>
      <c r="AB38" s="12"/>
      <c r="AC38" s="12"/>
      <c r="AD38" s="10"/>
      <c r="AE38" s="10"/>
      <c r="AF38" s="10"/>
      <c r="AG38" s="11"/>
      <c r="AH38" s="11"/>
      <c r="AI38" t="s">
        <v>4</v>
      </c>
      <c r="AJ38" s="10"/>
      <c r="AK38" s="10"/>
      <c r="AL38" s="10"/>
      <c r="AM38" s="11"/>
      <c r="AN38" s="11"/>
      <c r="AO38" t="s">
        <v>4</v>
      </c>
      <c r="AP38" s="10"/>
      <c r="AQ38" s="10"/>
      <c r="AR38" s="10"/>
      <c r="AS38" s="11"/>
      <c r="AT38" s="11"/>
      <c r="AU38" t="s">
        <v>4</v>
      </c>
      <c r="AV38" s="10"/>
      <c r="AW38" s="10"/>
      <c r="AX38" s="10"/>
      <c r="AY38" s="11"/>
      <c r="AZ38" s="11"/>
      <c r="BA38" t="s">
        <v>4</v>
      </c>
      <c r="BB38" s="10"/>
      <c r="BC38" s="12"/>
      <c r="BG38">
        <f t="shared" si="0"/>
        <v>0</v>
      </c>
      <c r="BH38">
        <f t="shared" si="1"/>
        <v>0</v>
      </c>
      <c r="BI38">
        <f t="shared" si="2"/>
        <v>0</v>
      </c>
      <c r="BJ38">
        <f t="shared" si="3"/>
        <v>0</v>
      </c>
      <c r="BK38">
        <f t="shared" si="4"/>
        <v>0</v>
      </c>
      <c r="BL38">
        <f t="shared" si="5"/>
        <v>0</v>
      </c>
      <c r="BM38">
        <f t="shared" si="6"/>
        <v>0</v>
      </c>
      <c r="BN38">
        <f t="shared" si="7"/>
        <v>0</v>
      </c>
    </row>
    <row r="39" spans="1:66" hidden="1">
      <c r="A39" t="s">
        <v>39</v>
      </c>
      <c r="C39" s="12"/>
      <c r="D39" s="10"/>
      <c r="E39" s="10"/>
      <c r="F39" s="10"/>
      <c r="G39" s="11"/>
      <c r="H39" s="11"/>
      <c r="I39" t="s">
        <v>4</v>
      </c>
      <c r="J39" s="10"/>
      <c r="K39" s="10"/>
      <c r="L39" s="10"/>
      <c r="M39" s="11"/>
      <c r="N39" s="11"/>
      <c r="O39" t="s">
        <v>4</v>
      </c>
      <c r="P39" s="10"/>
      <c r="Q39" s="10"/>
      <c r="R39" s="10"/>
      <c r="S39" s="11"/>
      <c r="T39" s="11"/>
      <c r="U39" t="s">
        <v>4</v>
      </c>
      <c r="V39" s="10"/>
      <c r="W39" s="10"/>
      <c r="X39" s="12"/>
      <c r="Y39" s="10"/>
      <c r="Z39" s="11"/>
      <c r="AA39" s="11"/>
      <c r="AB39" s="12"/>
      <c r="AC39" s="12"/>
      <c r="AD39" t="s">
        <v>4</v>
      </c>
      <c r="AE39" s="10"/>
      <c r="AF39" s="10"/>
      <c r="AG39" s="10"/>
      <c r="AH39" s="11"/>
      <c r="AI39" s="11"/>
      <c r="AJ39" t="s">
        <v>4</v>
      </c>
      <c r="AK39" s="10"/>
      <c r="AL39" s="10"/>
      <c r="AM39" s="10"/>
      <c r="AN39" s="11"/>
      <c r="AO39" s="11"/>
      <c r="AP39" t="s">
        <v>4</v>
      </c>
      <c r="AQ39" s="10"/>
      <c r="AR39" s="10"/>
      <c r="AS39" s="10"/>
      <c r="AT39" s="11"/>
      <c r="AU39" s="11"/>
      <c r="AV39" t="s">
        <v>4</v>
      </c>
      <c r="AW39" s="10"/>
      <c r="AX39" s="10"/>
      <c r="AY39" s="10"/>
      <c r="AZ39" s="11"/>
      <c r="BA39" s="11"/>
      <c r="BB39" t="s">
        <v>4</v>
      </c>
      <c r="BC39" s="12"/>
      <c r="BG39">
        <f t="shared" si="0"/>
        <v>0</v>
      </c>
      <c r="BH39">
        <f t="shared" si="1"/>
        <v>0</v>
      </c>
      <c r="BI39">
        <f t="shared" si="2"/>
        <v>0</v>
      </c>
      <c r="BJ39">
        <f t="shared" si="3"/>
        <v>0</v>
      </c>
      <c r="BK39">
        <f t="shared" si="4"/>
        <v>0</v>
      </c>
      <c r="BL39">
        <f t="shared" si="5"/>
        <v>0</v>
      </c>
      <c r="BM39">
        <f t="shared" si="6"/>
        <v>0</v>
      </c>
      <c r="BN39">
        <f t="shared" si="7"/>
        <v>0</v>
      </c>
    </row>
    <row r="40" spans="1:66" hidden="1">
      <c r="A40" t="s">
        <v>40</v>
      </c>
      <c r="C40" s="12"/>
      <c r="D40" t="s">
        <v>4</v>
      </c>
      <c r="E40" s="10"/>
      <c r="F40" s="10"/>
      <c r="G40" s="10"/>
      <c r="H40" s="11"/>
      <c r="I40" s="11"/>
      <c r="J40" t="s">
        <v>4</v>
      </c>
      <c r="K40" s="10"/>
      <c r="L40" s="10"/>
      <c r="M40" s="10"/>
      <c r="N40" s="11"/>
      <c r="O40" s="11"/>
      <c r="P40" t="s">
        <v>4</v>
      </c>
      <c r="Q40" s="10"/>
      <c r="R40" s="10"/>
      <c r="S40" s="10"/>
      <c r="T40" s="11"/>
      <c r="U40" s="11"/>
      <c r="V40" t="s">
        <v>4</v>
      </c>
      <c r="W40" s="10"/>
      <c r="X40" s="12"/>
      <c r="Y40" s="10"/>
      <c r="Z40" s="10"/>
      <c r="AA40" s="11"/>
      <c r="AB40" s="12"/>
      <c r="AC40" s="12"/>
      <c r="AD40" s="11"/>
      <c r="AE40" t="s">
        <v>4</v>
      </c>
      <c r="AF40" s="10"/>
      <c r="AG40" s="10"/>
      <c r="AH40" s="10"/>
      <c r="AI40" s="11"/>
      <c r="AJ40" s="11"/>
      <c r="AK40" t="s">
        <v>4</v>
      </c>
      <c r="AL40" s="10"/>
      <c r="AM40" s="10"/>
      <c r="AN40" s="10"/>
      <c r="AO40" s="11"/>
      <c r="AP40" s="11"/>
      <c r="AQ40" t="s">
        <v>4</v>
      </c>
      <c r="AR40" s="10"/>
      <c r="AS40" s="10"/>
      <c r="AT40" s="10"/>
      <c r="AU40" s="11"/>
      <c r="AV40" s="11"/>
      <c r="AW40" t="s">
        <v>4</v>
      </c>
      <c r="AX40" s="10"/>
      <c r="AY40" s="10"/>
      <c r="AZ40" s="10"/>
      <c r="BA40" s="11"/>
      <c r="BB40" s="11"/>
      <c r="BC40" s="12"/>
      <c r="BG40">
        <f t="shared" si="0"/>
        <v>0</v>
      </c>
      <c r="BH40">
        <f t="shared" si="1"/>
        <v>0</v>
      </c>
      <c r="BI40">
        <f t="shared" si="2"/>
        <v>0</v>
      </c>
      <c r="BJ40">
        <f t="shared" si="3"/>
        <v>0</v>
      </c>
      <c r="BK40">
        <f t="shared" si="4"/>
        <v>0</v>
      </c>
      <c r="BL40">
        <f t="shared" si="5"/>
        <v>0</v>
      </c>
      <c r="BM40">
        <f t="shared" si="6"/>
        <v>0</v>
      </c>
      <c r="BN40">
        <f t="shared" si="7"/>
        <v>0</v>
      </c>
    </row>
    <row r="41" spans="1:66" hidden="1">
      <c r="A41" t="s">
        <v>41</v>
      </c>
      <c r="C41" s="12"/>
      <c r="D41" s="11"/>
      <c r="E41" t="s">
        <v>4</v>
      </c>
      <c r="F41" s="10"/>
      <c r="G41" s="10"/>
      <c r="H41" s="10"/>
      <c r="I41" s="11"/>
      <c r="J41" s="11"/>
      <c r="K41" t="s">
        <v>4</v>
      </c>
      <c r="L41" s="10"/>
      <c r="M41" s="10"/>
      <c r="N41" s="10"/>
      <c r="O41" s="11"/>
      <c r="P41" s="11"/>
      <c r="Q41" t="s">
        <v>4</v>
      </c>
      <c r="R41" s="10"/>
      <c r="S41" s="10"/>
      <c r="T41" s="10"/>
      <c r="U41" s="11"/>
      <c r="V41" s="11"/>
      <c r="W41" t="s">
        <v>4</v>
      </c>
      <c r="X41" s="12"/>
      <c r="Y41" s="10"/>
      <c r="Z41" s="10"/>
      <c r="AA41" s="10"/>
      <c r="AB41" s="12"/>
      <c r="AC41" s="12"/>
      <c r="AD41" s="11"/>
      <c r="AE41" s="11"/>
      <c r="AF41" t="s">
        <v>4</v>
      </c>
      <c r="AG41" s="10"/>
      <c r="AH41" s="10"/>
      <c r="AI41" s="10"/>
      <c r="AJ41" s="11"/>
      <c r="AK41" s="11"/>
      <c r="AL41" t="s">
        <v>4</v>
      </c>
      <c r="AM41" s="10"/>
      <c r="AN41" s="10"/>
      <c r="AO41" s="10"/>
      <c r="AP41" s="11"/>
      <c r="AQ41" s="11"/>
      <c r="AR41" t="s">
        <v>4</v>
      </c>
      <c r="AS41" s="10"/>
      <c r="AT41" s="10"/>
      <c r="AU41" s="10"/>
      <c r="AV41" s="11"/>
      <c r="AW41" s="11"/>
      <c r="AX41" t="s">
        <v>4</v>
      </c>
      <c r="AY41" s="10"/>
      <c r="AZ41" s="10"/>
      <c r="BA41" s="10"/>
      <c r="BB41" s="11"/>
      <c r="BC41" s="12"/>
      <c r="BG41">
        <f t="shared" si="0"/>
        <v>0</v>
      </c>
      <c r="BH41">
        <f t="shared" si="1"/>
        <v>0</v>
      </c>
      <c r="BI41">
        <f t="shared" si="2"/>
        <v>0</v>
      </c>
      <c r="BJ41">
        <f t="shared" si="3"/>
        <v>0</v>
      </c>
      <c r="BK41">
        <f t="shared" si="4"/>
        <v>0</v>
      </c>
      <c r="BL41">
        <f t="shared" si="5"/>
        <v>0</v>
      </c>
      <c r="BM41">
        <f t="shared" si="6"/>
        <v>0</v>
      </c>
      <c r="BN41">
        <f t="shared" si="7"/>
        <v>0</v>
      </c>
    </row>
    <row r="42" spans="1:66" hidden="1">
      <c r="A42" t="s">
        <v>42</v>
      </c>
      <c r="C42" s="12"/>
      <c r="D42" s="11"/>
      <c r="E42" s="11"/>
      <c r="F42" t="s">
        <v>4</v>
      </c>
      <c r="G42" s="10"/>
      <c r="H42" s="10"/>
      <c r="I42" s="10"/>
      <c r="J42" s="11"/>
      <c r="K42" s="11"/>
      <c r="L42" t="s">
        <v>4</v>
      </c>
      <c r="M42" s="10"/>
      <c r="N42" s="10"/>
      <c r="O42" s="10"/>
      <c r="P42" s="11"/>
      <c r="Q42" s="11"/>
      <c r="R42" t="s">
        <v>4</v>
      </c>
      <c r="S42" s="10"/>
      <c r="T42" s="10"/>
      <c r="U42" s="10"/>
      <c r="V42" s="11"/>
      <c r="W42" s="11"/>
      <c r="X42" s="12"/>
      <c r="Y42" t="s">
        <v>4</v>
      </c>
      <c r="Z42" s="10"/>
      <c r="AA42" s="10"/>
      <c r="AB42" s="12"/>
      <c r="AC42" s="12"/>
      <c r="AD42" s="10"/>
      <c r="AE42" s="11"/>
      <c r="AF42" s="11"/>
      <c r="AG42" t="s">
        <v>4</v>
      </c>
      <c r="AH42" s="10"/>
      <c r="AI42" s="10"/>
      <c r="AJ42" s="10"/>
      <c r="AK42" s="11"/>
      <c r="AL42" s="11"/>
      <c r="AM42" t="s">
        <v>4</v>
      </c>
      <c r="AN42" s="10"/>
      <c r="AO42" s="10"/>
      <c r="AP42" s="10"/>
      <c r="AQ42" s="11"/>
      <c r="AR42" s="11"/>
      <c r="AS42" t="s">
        <v>4</v>
      </c>
      <c r="AT42" s="10"/>
      <c r="AU42" s="10"/>
      <c r="AV42" s="10"/>
      <c r="AW42" s="11"/>
      <c r="AX42" s="11"/>
      <c r="AY42" t="s">
        <v>4</v>
      </c>
      <c r="AZ42" s="10"/>
      <c r="BA42" s="10"/>
      <c r="BB42" s="10"/>
      <c r="BC42" s="12"/>
      <c r="BG42">
        <f t="shared" si="0"/>
        <v>0</v>
      </c>
      <c r="BH42">
        <f t="shared" si="1"/>
        <v>0</v>
      </c>
      <c r="BI42">
        <f t="shared" si="2"/>
        <v>0</v>
      </c>
      <c r="BJ42">
        <f t="shared" si="3"/>
        <v>0</v>
      </c>
      <c r="BK42">
        <f t="shared" si="4"/>
        <v>0</v>
      </c>
      <c r="BL42">
        <f t="shared" si="5"/>
        <v>0</v>
      </c>
      <c r="BM42">
        <f t="shared" si="6"/>
        <v>0</v>
      </c>
      <c r="BN42">
        <f t="shared" si="7"/>
        <v>0</v>
      </c>
    </row>
    <row r="43" spans="1:66" hidden="1">
      <c r="A43" t="s">
        <v>43</v>
      </c>
      <c r="C43" s="12"/>
      <c r="D43" s="10"/>
      <c r="E43" s="11"/>
      <c r="F43" s="11"/>
      <c r="G43" t="s">
        <v>4</v>
      </c>
      <c r="H43" s="10"/>
      <c r="I43" s="10"/>
      <c r="J43" s="10"/>
      <c r="K43" s="11"/>
      <c r="L43" s="11"/>
      <c r="M43" t="s">
        <v>4</v>
      </c>
      <c r="N43" s="10"/>
      <c r="O43" s="10"/>
      <c r="P43" s="10"/>
      <c r="Q43" s="11"/>
      <c r="R43" s="11"/>
      <c r="S43" t="s">
        <v>4</v>
      </c>
      <c r="T43" s="10"/>
      <c r="U43" s="10"/>
      <c r="V43" s="10"/>
      <c r="W43" s="11"/>
      <c r="X43" s="12"/>
      <c r="Y43" s="11"/>
      <c r="Z43" t="s">
        <v>4</v>
      </c>
      <c r="AA43" s="10"/>
      <c r="AB43" s="12"/>
      <c r="AC43" s="12"/>
      <c r="AD43" s="10"/>
      <c r="AE43" s="10"/>
      <c r="AF43" s="11"/>
      <c r="AG43" s="11"/>
      <c r="AH43" t="s">
        <v>4</v>
      </c>
      <c r="AI43" s="10"/>
      <c r="AJ43" s="10"/>
      <c r="AK43" s="10"/>
      <c r="AL43" s="11"/>
      <c r="AM43" s="11"/>
      <c r="AN43" t="s">
        <v>4</v>
      </c>
      <c r="AO43" s="10"/>
      <c r="AP43" s="10"/>
      <c r="AQ43" s="10"/>
      <c r="AR43" s="11"/>
      <c r="AS43" s="11"/>
      <c r="AT43" t="s">
        <v>4</v>
      </c>
      <c r="AU43" s="10"/>
      <c r="AV43" s="10"/>
      <c r="AW43" s="10"/>
      <c r="AX43" s="11"/>
      <c r="AY43" s="11"/>
      <c r="AZ43" t="s">
        <v>4</v>
      </c>
      <c r="BA43" s="10"/>
      <c r="BB43" s="10"/>
      <c r="BC43" s="12"/>
      <c r="BG43">
        <f t="shared" si="0"/>
        <v>0</v>
      </c>
      <c r="BH43">
        <f t="shared" si="1"/>
        <v>0</v>
      </c>
      <c r="BI43">
        <f t="shared" si="2"/>
        <v>0</v>
      </c>
      <c r="BJ43">
        <f t="shared" si="3"/>
        <v>0</v>
      </c>
      <c r="BK43">
        <f t="shared" si="4"/>
        <v>0</v>
      </c>
      <c r="BL43">
        <f t="shared" si="5"/>
        <v>0</v>
      </c>
      <c r="BM43">
        <f t="shared" si="6"/>
        <v>0</v>
      </c>
      <c r="BN43">
        <f t="shared" si="7"/>
        <v>0</v>
      </c>
    </row>
    <row r="44" spans="1:66" hidden="1">
      <c r="A44" t="s">
        <v>44</v>
      </c>
      <c r="C44" s="12"/>
      <c r="D44" s="10"/>
      <c r="E44" s="10"/>
      <c r="F44" s="11"/>
      <c r="G44" s="11"/>
      <c r="H44" t="s">
        <v>4</v>
      </c>
      <c r="I44" s="10"/>
      <c r="J44" s="10"/>
      <c r="K44" s="10"/>
      <c r="L44" s="11"/>
      <c r="M44" s="11"/>
      <c r="N44" t="s">
        <v>4</v>
      </c>
      <c r="O44" s="10"/>
      <c r="P44" s="10"/>
      <c r="Q44" s="10"/>
      <c r="R44" s="11"/>
      <c r="S44" s="11"/>
      <c r="T44" t="s">
        <v>4</v>
      </c>
      <c r="U44" s="10"/>
      <c r="V44" s="10"/>
      <c r="W44" s="10"/>
      <c r="X44" s="12"/>
      <c r="Y44" s="11"/>
      <c r="Z44" s="11"/>
      <c r="AA44" t="s">
        <v>4</v>
      </c>
      <c r="AB44" s="12"/>
      <c r="AC44" s="12"/>
      <c r="AD44" s="10"/>
      <c r="AE44" s="10"/>
      <c r="AF44" s="10"/>
      <c r="AG44" s="11"/>
      <c r="AH44" s="11"/>
      <c r="AI44" t="s">
        <v>4</v>
      </c>
      <c r="AJ44" s="10"/>
      <c r="AK44" s="10"/>
      <c r="AL44" s="10"/>
      <c r="AM44" s="11"/>
      <c r="AN44" s="11"/>
      <c r="AO44" t="s">
        <v>4</v>
      </c>
      <c r="AP44" s="10"/>
      <c r="AQ44" s="10"/>
      <c r="AR44" s="10"/>
      <c r="AS44" s="11"/>
      <c r="AT44" s="11"/>
      <c r="AU44" t="s">
        <v>4</v>
      </c>
      <c r="AV44" s="10"/>
      <c r="AW44" s="10"/>
      <c r="AX44" s="10"/>
      <c r="AY44" s="11"/>
      <c r="AZ44" s="11"/>
      <c r="BA44" t="s">
        <v>4</v>
      </c>
      <c r="BB44" s="10"/>
      <c r="BC44" s="12"/>
      <c r="BG44">
        <f t="shared" si="0"/>
        <v>0</v>
      </c>
      <c r="BH44">
        <f t="shared" si="1"/>
        <v>0</v>
      </c>
      <c r="BI44">
        <f t="shared" si="2"/>
        <v>0</v>
      </c>
      <c r="BJ44">
        <f t="shared" si="3"/>
        <v>0</v>
      </c>
      <c r="BK44">
        <f t="shared" si="4"/>
        <v>0</v>
      </c>
      <c r="BL44">
        <f t="shared" si="5"/>
        <v>0</v>
      </c>
      <c r="BM44">
        <f t="shared" si="6"/>
        <v>0</v>
      </c>
      <c r="BN44">
        <f t="shared" si="7"/>
        <v>0</v>
      </c>
    </row>
    <row r="45" spans="1:66" hidden="1">
      <c r="A45" t="s">
        <v>45</v>
      </c>
      <c r="C45" s="12"/>
      <c r="D45" s="10"/>
      <c r="E45" s="10"/>
      <c r="F45" s="10"/>
      <c r="G45" s="11"/>
      <c r="H45" s="11"/>
      <c r="I45" t="s">
        <v>4</v>
      </c>
      <c r="J45" s="10"/>
      <c r="K45" s="10"/>
      <c r="L45" s="10"/>
      <c r="M45" s="11"/>
      <c r="N45" s="11"/>
      <c r="O45" t="s">
        <v>4</v>
      </c>
      <c r="P45" s="10"/>
      <c r="Q45" s="10"/>
      <c r="R45" s="10"/>
      <c r="S45" s="11"/>
      <c r="T45" s="11"/>
      <c r="U45" t="s">
        <v>4</v>
      </c>
      <c r="V45" s="10"/>
      <c r="W45" s="10"/>
      <c r="X45" s="12"/>
      <c r="Y45" s="10"/>
      <c r="Z45" s="11"/>
      <c r="AA45" s="11"/>
      <c r="AB45" s="12"/>
      <c r="AC45" s="12"/>
      <c r="AD45" t="s">
        <v>4</v>
      </c>
      <c r="AE45" s="10"/>
      <c r="AF45" s="10"/>
      <c r="AG45" s="10"/>
      <c r="AH45" s="11"/>
      <c r="AI45" s="11"/>
      <c r="AJ45" t="s">
        <v>4</v>
      </c>
      <c r="AK45" s="10"/>
      <c r="AL45" s="10"/>
      <c r="AM45" s="10"/>
      <c r="AN45" s="11"/>
      <c r="AO45" s="11"/>
      <c r="AP45" t="s">
        <v>4</v>
      </c>
      <c r="AQ45" s="10"/>
      <c r="AR45" s="10"/>
      <c r="AS45" s="10"/>
      <c r="AT45" s="11"/>
      <c r="AU45" s="11"/>
      <c r="AV45" t="s">
        <v>4</v>
      </c>
      <c r="AW45" s="10"/>
      <c r="AX45" s="10"/>
      <c r="AY45" s="10"/>
      <c r="AZ45" s="11"/>
      <c r="BA45" s="11"/>
      <c r="BB45" t="s">
        <v>4</v>
      </c>
      <c r="BC45" s="12"/>
      <c r="BG45">
        <f t="shared" si="0"/>
        <v>0</v>
      </c>
      <c r="BH45">
        <f t="shared" si="1"/>
        <v>0</v>
      </c>
      <c r="BI45">
        <f t="shared" si="2"/>
        <v>0</v>
      </c>
      <c r="BJ45">
        <f t="shared" si="3"/>
        <v>0</v>
      </c>
      <c r="BK45">
        <f t="shared" si="4"/>
        <v>0</v>
      </c>
      <c r="BL45">
        <f t="shared" si="5"/>
        <v>0</v>
      </c>
      <c r="BM45">
        <f t="shared" si="6"/>
        <v>0</v>
      </c>
      <c r="BN45">
        <f t="shared" si="7"/>
        <v>0</v>
      </c>
    </row>
    <row r="46" spans="1:66" hidden="1">
      <c r="A46" t="s">
        <v>46</v>
      </c>
      <c r="C46" s="12"/>
      <c r="D46" t="s">
        <v>4</v>
      </c>
      <c r="E46" s="10"/>
      <c r="F46" s="10"/>
      <c r="G46" s="10"/>
      <c r="H46" s="11"/>
      <c r="I46" s="11"/>
      <c r="J46" t="s">
        <v>4</v>
      </c>
      <c r="K46" s="10"/>
      <c r="L46" s="10"/>
      <c r="M46" s="10"/>
      <c r="N46" s="11"/>
      <c r="O46" s="11"/>
      <c r="P46" t="s">
        <v>4</v>
      </c>
      <c r="Q46" s="10"/>
      <c r="R46" s="10"/>
      <c r="S46" s="10"/>
      <c r="T46" s="11"/>
      <c r="U46" s="11"/>
      <c r="V46" t="s">
        <v>4</v>
      </c>
      <c r="W46" s="10"/>
      <c r="X46" s="12"/>
      <c r="Y46" s="10"/>
      <c r="Z46" s="10"/>
      <c r="AA46" s="11"/>
      <c r="AB46" s="12"/>
      <c r="AC46" s="12"/>
      <c r="AD46" s="11"/>
      <c r="AE46" t="s">
        <v>4</v>
      </c>
      <c r="AF46" s="10"/>
      <c r="AG46" s="10"/>
      <c r="AH46" s="10"/>
      <c r="AI46" s="11"/>
      <c r="AJ46" s="11"/>
      <c r="AK46" t="s">
        <v>4</v>
      </c>
      <c r="AL46" s="10"/>
      <c r="AM46" s="10"/>
      <c r="AN46" s="10"/>
      <c r="AO46" s="11"/>
      <c r="AP46" s="11"/>
      <c r="AQ46" t="s">
        <v>4</v>
      </c>
      <c r="AR46" s="10"/>
      <c r="AS46" s="10"/>
      <c r="AT46" s="10"/>
      <c r="AU46" s="11"/>
      <c r="AV46" s="11"/>
      <c r="AW46" t="s">
        <v>4</v>
      </c>
      <c r="AX46" s="10"/>
      <c r="AY46" s="10"/>
      <c r="AZ46" s="10"/>
      <c r="BA46" s="11"/>
      <c r="BB46" s="11"/>
      <c r="BC46" s="12"/>
      <c r="BG46">
        <f t="shared" si="0"/>
        <v>0</v>
      </c>
      <c r="BH46">
        <f t="shared" si="1"/>
        <v>0</v>
      </c>
      <c r="BI46">
        <f t="shared" si="2"/>
        <v>0</v>
      </c>
      <c r="BJ46">
        <f t="shared" si="3"/>
        <v>0</v>
      </c>
      <c r="BK46">
        <f t="shared" si="4"/>
        <v>0</v>
      </c>
      <c r="BL46">
        <f t="shared" si="5"/>
        <v>0</v>
      </c>
      <c r="BM46">
        <f t="shared" si="6"/>
        <v>0</v>
      </c>
      <c r="BN46">
        <f t="shared" si="7"/>
        <v>0</v>
      </c>
    </row>
    <row r="47" spans="1:66" hidden="1">
      <c r="A47" t="s">
        <v>47</v>
      </c>
      <c r="C47" s="12"/>
      <c r="D47" s="11"/>
      <c r="E47" t="s">
        <v>4</v>
      </c>
      <c r="F47" s="10"/>
      <c r="G47" s="10"/>
      <c r="H47" s="10"/>
      <c r="I47" s="11"/>
      <c r="J47" s="11"/>
      <c r="K47" t="s">
        <v>4</v>
      </c>
      <c r="L47" s="10"/>
      <c r="M47" s="10"/>
      <c r="N47" s="10"/>
      <c r="O47" s="11"/>
      <c r="P47" s="11"/>
      <c r="Q47" t="s">
        <v>4</v>
      </c>
      <c r="R47" s="10"/>
      <c r="S47" s="10"/>
      <c r="T47" s="10"/>
      <c r="U47" s="11"/>
      <c r="V47" s="11"/>
      <c r="W47" t="s">
        <v>4</v>
      </c>
      <c r="X47" s="12"/>
      <c r="Y47" s="10"/>
      <c r="Z47" s="10"/>
      <c r="AA47" s="10"/>
      <c r="AB47" s="12"/>
      <c r="AC47" s="12"/>
      <c r="AD47" s="11"/>
      <c r="AE47" s="11"/>
      <c r="AF47" t="s">
        <v>4</v>
      </c>
      <c r="AG47" s="10"/>
      <c r="AH47" s="10"/>
      <c r="AI47" s="10"/>
      <c r="AJ47" s="11"/>
      <c r="AK47" s="11"/>
      <c r="AL47" t="s">
        <v>4</v>
      </c>
      <c r="AM47" s="10"/>
      <c r="AN47" s="10"/>
      <c r="AO47" s="10"/>
      <c r="AP47" s="11"/>
      <c r="AQ47" s="11"/>
      <c r="AR47" t="s">
        <v>4</v>
      </c>
      <c r="AS47" s="10"/>
      <c r="AT47" s="10"/>
      <c r="AU47" s="10"/>
      <c r="AV47" s="11"/>
      <c r="AW47" s="11"/>
      <c r="AX47" t="s">
        <v>4</v>
      </c>
      <c r="AY47" s="10"/>
      <c r="AZ47" s="10"/>
      <c r="BA47" s="10"/>
      <c r="BB47" s="11"/>
      <c r="BC47" s="12"/>
      <c r="BG47">
        <f t="shared" si="0"/>
        <v>0</v>
      </c>
      <c r="BH47">
        <f t="shared" si="1"/>
        <v>0</v>
      </c>
      <c r="BI47">
        <f t="shared" si="2"/>
        <v>0</v>
      </c>
      <c r="BJ47">
        <f t="shared" si="3"/>
        <v>0</v>
      </c>
      <c r="BK47">
        <f t="shared" si="4"/>
        <v>0</v>
      </c>
      <c r="BL47">
        <f t="shared" si="5"/>
        <v>0</v>
      </c>
      <c r="BM47">
        <f t="shared" si="6"/>
        <v>0</v>
      </c>
      <c r="BN47">
        <f t="shared" si="7"/>
        <v>0</v>
      </c>
    </row>
    <row r="48" spans="1:66" hidden="1">
      <c r="A48" t="s">
        <v>48</v>
      </c>
      <c r="C48" s="12"/>
      <c r="D48" s="11"/>
      <c r="E48" s="11"/>
      <c r="F48" t="s">
        <v>4</v>
      </c>
      <c r="G48" s="10"/>
      <c r="H48" s="10"/>
      <c r="I48" s="10"/>
      <c r="J48" s="11"/>
      <c r="K48" s="11"/>
      <c r="L48" t="s">
        <v>4</v>
      </c>
      <c r="M48" s="10"/>
      <c r="N48" s="10"/>
      <c r="O48" s="10"/>
      <c r="P48" s="11"/>
      <c r="Q48" s="11"/>
      <c r="R48" t="s">
        <v>4</v>
      </c>
      <c r="S48" s="10"/>
      <c r="T48" s="10"/>
      <c r="U48" s="10"/>
      <c r="V48" s="11"/>
      <c r="W48" s="11"/>
      <c r="X48" s="12"/>
      <c r="Y48" t="s">
        <v>4</v>
      </c>
      <c r="Z48" s="10"/>
      <c r="AA48" s="10"/>
      <c r="AB48" s="12"/>
      <c r="AC48" s="12"/>
      <c r="AD48" s="10"/>
      <c r="AE48" s="11"/>
      <c r="AF48" s="11"/>
      <c r="AG48" t="s">
        <v>4</v>
      </c>
      <c r="AH48" s="10"/>
      <c r="AI48" s="10"/>
      <c r="AJ48" s="10"/>
      <c r="AK48" s="11"/>
      <c r="AL48" s="11"/>
      <c r="AM48" t="s">
        <v>4</v>
      </c>
      <c r="AN48" s="10"/>
      <c r="AO48" s="10"/>
      <c r="AP48" s="10"/>
      <c r="AQ48" s="11"/>
      <c r="AR48" s="11"/>
      <c r="AS48" t="s">
        <v>4</v>
      </c>
      <c r="AT48" s="10"/>
      <c r="AU48" s="10"/>
      <c r="AV48" s="10"/>
      <c r="AW48" s="11"/>
      <c r="AX48" s="11"/>
      <c r="AY48" t="s">
        <v>4</v>
      </c>
      <c r="AZ48" s="10"/>
      <c r="BA48" s="10"/>
      <c r="BB48" s="10"/>
      <c r="BC48" s="12"/>
      <c r="BG48">
        <f t="shared" si="0"/>
        <v>0</v>
      </c>
      <c r="BH48">
        <f t="shared" si="1"/>
        <v>0</v>
      </c>
      <c r="BI48">
        <f t="shared" si="2"/>
        <v>0</v>
      </c>
      <c r="BJ48">
        <f t="shared" si="3"/>
        <v>0</v>
      </c>
      <c r="BK48">
        <f t="shared" si="4"/>
        <v>0</v>
      </c>
      <c r="BL48">
        <f t="shared" si="5"/>
        <v>0</v>
      </c>
      <c r="BM48">
        <f t="shared" si="6"/>
        <v>0</v>
      </c>
      <c r="BN48">
        <f t="shared" si="7"/>
        <v>0</v>
      </c>
    </row>
    <row r="49" spans="1:67" hidden="1">
      <c r="A49" t="s">
        <v>49</v>
      </c>
      <c r="C49" s="12"/>
      <c r="D49" s="10"/>
      <c r="E49" s="11"/>
      <c r="F49" s="11"/>
      <c r="G49" t="s">
        <v>4</v>
      </c>
      <c r="H49" s="10"/>
      <c r="I49" s="10"/>
      <c r="J49" s="10"/>
      <c r="K49" s="11"/>
      <c r="L49" s="11"/>
      <c r="M49" t="s">
        <v>4</v>
      </c>
      <c r="N49" s="10"/>
      <c r="O49" s="10"/>
      <c r="P49" s="10"/>
      <c r="Q49" s="11"/>
      <c r="R49" s="11"/>
      <c r="S49" t="s">
        <v>4</v>
      </c>
      <c r="T49" s="10"/>
      <c r="U49" s="10"/>
      <c r="V49" s="10"/>
      <c r="W49" s="11"/>
      <c r="X49" s="12"/>
      <c r="Y49" s="11"/>
      <c r="Z49" t="s">
        <v>4</v>
      </c>
      <c r="AA49" s="10"/>
      <c r="AB49" s="12"/>
      <c r="AC49" s="12"/>
      <c r="AD49" s="10"/>
      <c r="AE49" s="10"/>
      <c r="AF49" s="11"/>
      <c r="AG49" s="11"/>
      <c r="AH49" t="s">
        <v>4</v>
      </c>
      <c r="AI49" s="10"/>
      <c r="AJ49" s="10"/>
      <c r="AK49" s="10"/>
      <c r="AL49" s="11"/>
      <c r="AM49" s="11"/>
      <c r="AN49" t="s">
        <v>4</v>
      </c>
      <c r="AO49" s="10"/>
      <c r="AP49" s="10"/>
      <c r="AQ49" s="10"/>
      <c r="AR49" s="11"/>
      <c r="AS49" s="11"/>
      <c r="AT49" t="s">
        <v>4</v>
      </c>
      <c r="AU49" s="10"/>
      <c r="AV49" s="10"/>
      <c r="AW49" s="10"/>
      <c r="AX49" s="11"/>
      <c r="AY49" s="11"/>
      <c r="AZ49" t="s">
        <v>4</v>
      </c>
      <c r="BA49" s="10"/>
      <c r="BB49" s="10"/>
      <c r="BC49" s="12"/>
      <c r="BG49">
        <f t="shared" si="0"/>
        <v>0</v>
      </c>
      <c r="BH49">
        <f t="shared" si="1"/>
        <v>0</v>
      </c>
      <c r="BI49">
        <f t="shared" si="2"/>
        <v>0</v>
      </c>
      <c r="BJ49">
        <f t="shared" si="3"/>
        <v>0</v>
      </c>
      <c r="BK49">
        <f t="shared" si="4"/>
        <v>0</v>
      </c>
      <c r="BL49">
        <f t="shared" si="5"/>
        <v>0</v>
      </c>
      <c r="BM49">
        <f t="shared" si="6"/>
        <v>0</v>
      </c>
      <c r="BN49">
        <f t="shared" si="7"/>
        <v>0</v>
      </c>
    </row>
    <row r="50" spans="1:67" hidden="1">
      <c r="A50" t="s">
        <v>50</v>
      </c>
      <c r="C50" s="12"/>
      <c r="D50" s="10"/>
      <c r="E50" s="10"/>
      <c r="F50" s="11"/>
      <c r="G50" s="11"/>
      <c r="H50" t="s">
        <v>4</v>
      </c>
      <c r="I50" s="10"/>
      <c r="J50" s="10"/>
      <c r="K50" s="10"/>
      <c r="L50" s="11"/>
      <c r="M50" s="11"/>
      <c r="N50" t="s">
        <v>4</v>
      </c>
      <c r="O50" s="10"/>
      <c r="P50" s="10"/>
      <c r="Q50" s="10"/>
      <c r="R50" s="11"/>
      <c r="S50" s="11"/>
      <c r="T50" t="s">
        <v>4</v>
      </c>
      <c r="U50" s="10"/>
      <c r="V50" s="10"/>
      <c r="W50" s="10"/>
      <c r="X50" s="12"/>
      <c r="Y50" s="11"/>
      <c r="Z50" s="11"/>
      <c r="AA50" t="s">
        <v>4</v>
      </c>
      <c r="AB50" s="12"/>
      <c r="AC50" s="12"/>
      <c r="AD50" s="10"/>
      <c r="AE50" s="10"/>
      <c r="AF50" s="10"/>
      <c r="AG50" s="11"/>
      <c r="AH50" s="11"/>
      <c r="AI50" t="s">
        <v>4</v>
      </c>
      <c r="AJ50" s="10"/>
      <c r="AK50" s="10"/>
      <c r="AL50" s="10"/>
      <c r="AM50" s="11"/>
      <c r="AN50" s="11"/>
      <c r="AO50" t="s">
        <v>4</v>
      </c>
      <c r="AP50" s="10"/>
      <c r="AQ50" s="10"/>
      <c r="AR50" s="10"/>
      <c r="AS50" s="11"/>
      <c r="AT50" s="11"/>
      <c r="AU50" t="s">
        <v>4</v>
      </c>
      <c r="AV50" s="10"/>
      <c r="AW50" s="10"/>
      <c r="AX50" s="10"/>
      <c r="AY50" s="11"/>
      <c r="AZ50" s="11"/>
      <c r="BA50" t="s">
        <v>4</v>
      </c>
      <c r="BB50" s="10"/>
      <c r="BC50" s="12"/>
      <c r="BG50">
        <f t="shared" si="0"/>
        <v>0</v>
      </c>
      <c r="BH50">
        <f t="shared" si="1"/>
        <v>0</v>
      </c>
      <c r="BI50">
        <f t="shared" si="2"/>
        <v>0</v>
      </c>
      <c r="BJ50">
        <f t="shared" si="3"/>
        <v>0</v>
      </c>
      <c r="BK50">
        <f t="shared" si="4"/>
        <v>0</v>
      </c>
      <c r="BL50">
        <f t="shared" si="5"/>
        <v>0</v>
      </c>
      <c r="BM50">
        <f t="shared" si="6"/>
        <v>0</v>
      </c>
      <c r="BN50">
        <f t="shared" si="7"/>
        <v>0</v>
      </c>
    </row>
    <row r="51" spans="1:67" hidden="1">
      <c r="A51" t="s">
        <v>51</v>
      </c>
      <c r="C51" s="12"/>
      <c r="D51" s="10"/>
      <c r="E51" s="10"/>
      <c r="F51" s="10"/>
      <c r="G51" s="11"/>
      <c r="H51" s="11"/>
      <c r="I51" t="s">
        <v>4</v>
      </c>
      <c r="J51" s="10"/>
      <c r="K51" s="10"/>
      <c r="L51" s="10"/>
      <c r="M51" s="11"/>
      <c r="N51" s="11"/>
      <c r="O51" t="s">
        <v>4</v>
      </c>
      <c r="P51" s="10"/>
      <c r="Q51" s="10"/>
      <c r="R51" s="10"/>
      <c r="S51" s="11"/>
      <c r="T51" s="11"/>
      <c r="U51" t="s">
        <v>4</v>
      </c>
      <c r="V51" s="10"/>
      <c r="W51" s="10"/>
      <c r="X51" s="12"/>
      <c r="Y51" s="10"/>
      <c r="Z51" s="11"/>
      <c r="AA51" s="11"/>
      <c r="AB51" s="12"/>
      <c r="AC51" s="12"/>
      <c r="AD51" t="s">
        <v>4</v>
      </c>
      <c r="AE51" s="10"/>
      <c r="AF51" s="10"/>
      <c r="AG51" s="10"/>
      <c r="AH51" s="11"/>
      <c r="AI51" s="11"/>
      <c r="AJ51" t="s">
        <v>4</v>
      </c>
      <c r="AK51" s="10"/>
      <c r="AL51" s="10"/>
      <c r="AM51" s="10"/>
      <c r="AN51" s="11"/>
      <c r="AO51" s="11"/>
      <c r="AP51" t="s">
        <v>4</v>
      </c>
      <c r="AQ51" s="10"/>
      <c r="AR51" s="10"/>
      <c r="AS51" s="10"/>
      <c r="AT51" s="11"/>
      <c r="AU51" s="11"/>
      <c r="AV51" t="s">
        <v>4</v>
      </c>
      <c r="AW51" s="10"/>
      <c r="AX51" s="10"/>
      <c r="AY51" s="10"/>
      <c r="AZ51" s="11"/>
      <c r="BA51" s="11"/>
      <c r="BB51" t="s">
        <v>4</v>
      </c>
      <c r="BC51" s="12"/>
      <c r="BG51">
        <f t="shared" si="0"/>
        <v>0</v>
      </c>
      <c r="BH51">
        <f t="shared" si="1"/>
        <v>0</v>
      </c>
      <c r="BI51">
        <f t="shared" si="2"/>
        <v>0</v>
      </c>
      <c r="BJ51">
        <f t="shared" si="3"/>
        <v>0</v>
      </c>
      <c r="BK51">
        <f t="shared" si="4"/>
        <v>0</v>
      </c>
      <c r="BL51">
        <f t="shared" si="5"/>
        <v>0</v>
      </c>
      <c r="BM51">
        <f t="shared" si="6"/>
        <v>0</v>
      </c>
      <c r="BN51">
        <f t="shared" si="7"/>
        <v>0</v>
      </c>
    </row>
    <row r="52" spans="1:67" hidden="1">
      <c r="A52" t="s">
        <v>52</v>
      </c>
      <c r="C52" s="12"/>
      <c r="D52" t="s">
        <v>4</v>
      </c>
      <c r="E52" s="10"/>
      <c r="F52" s="10"/>
      <c r="G52" s="10"/>
      <c r="H52" s="11"/>
      <c r="I52" s="11"/>
      <c r="J52" t="s">
        <v>4</v>
      </c>
      <c r="K52" s="10"/>
      <c r="L52" s="10"/>
      <c r="M52" s="10"/>
      <c r="N52" s="11"/>
      <c r="O52" s="11"/>
      <c r="P52" t="s">
        <v>4</v>
      </c>
      <c r="Q52" s="10"/>
      <c r="R52" s="10"/>
      <c r="S52" s="10"/>
      <c r="T52" s="11"/>
      <c r="U52" s="11"/>
      <c r="V52" t="s">
        <v>4</v>
      </c>
      <c r="W52" s="10"/>
      <c r="X52" s="12"/>
      <c r="Y52" s="10"/>
      <c r="Z52" s="10"/>
      <c r="AA52" s="11"/>
      <c r="AB52" s="12"/>
      <c r="AC52" s="12"/>
      <c r="AD52" s="11"/>
      <c r="AE52" t="s">
        <v>4</v>
      </c>
      <c r="AF52" s="10"/>
      <c r="AG52" s="10"/>
      <c r="AH52" s="10"/>
      <c r="AI52" s="11"/>
      <c r="AJ52" s="11"/>
      <c r="AK52" t="s">
        <v>4</v>
      </c>
      <c r="AL52" s="10"/>
      <c r="AM52" s="10"/>
      <c r="AN52" s="10"/>
      <c r="AO52" s="11"/>
      <c r="AP52" s="11"/>
      <c r="AQ52" t="s">
        <v>4</v>
      </c>
      <c r="AR52" s="10"/>
      <c r="AS52" s="10"/>
      <c r="AT52" s="10"/>
      <c r="AU52" s="11"/>
      <c r="AV52" s="11"/>
      <c r="AW52" t="s">
        <v>4</v>
      </c>
      <c r="AX52" s="10"/>
      <c r="AY52" s="10"/>
      <c r="AZ52" s="10"/>
      <c r="BA52" s="11"/>
      <c r="BB52" s="11"/>
      <c r="BC52" s="12"/>
      <c r="BG52">
        <f t="shared" si="0"/>
        <v>0</v>
      </c>
      <c r="BH52">
        <f t="shared" si="1"/>
        <v>0</v>
      </c>
      <c r="BI52">
        <f t="shared" si="2"/>
        <v>0</v>
      </c>
      <c r="BJ52">
        <f t="shared" si="3"/>
        <v>0</v>
      </c>
      <c r="BK52">
        <f t="shared" si="4"/>
        <v>0</v>
      </c>
      <c r="BL52">
        <f t="shared" si="5"/>
        <v>0</v>
      </c>
      <c r="BM52">
        <f t="shared" si="6"/>
        <v>0</v>
      </c>
      <c r="BN52">
        <f t="shared" si="7"/>
        <v>0</v>
      </c>
    </row>
    <row r="53" spans="1:67" hidden="1">
      <c r="A53" t="s">
        <v>53</v>
      </c>
      <c r="C53" s="12"/>
      <c r="D53" s="11"/>
      <c r="E53" t="s">
        <v>4</v>
      </c>
      <c r="F53" s="10"/>
      <c r="G53" s="10"/>
      <c r="H53" s="10"/>
      <c r="I53" s="11"/>
      <c r="J53" s="11"/>
      <c r="K53" t="s">
        <v>4</v>
      </c>
      <c r="L53" s="10"/>
      <c r="M53" s="10"/>
      <c r="N53" s="10"/>
      <c r="O53" s="11"/>
      <c r="P53" s="11"/>
      <c r="Q53" t="s">
        <v>4</v>
      </c>
      <c r="R53" s="10"/>
      <c r="S53" s="10"/>
      <c r="T53" s="10"/>
      <c r="U53" s="11"/>
      <c r="V53" s="11"/>
      <c r="W53" t="s">
        <v>4</v>
      </c>
      <c r="X53" s="12"/>
      <c r="Y53" s="10"/>
      <c r="Z53" s="10"/>
      <c r="AA53" s="10"/>
      <c r="AB53" s="12"/>
      <c r="AC53" s="12"/>
      <c r="AD53" s="11"/>
      <c r="AE53" s="11"/>
      <c r="AF53" t="s">
        <v>4</v>
      </c>
      <c r="AG53" s="10"/>
      <c r="AH53" s="10"/>
      <c r="AI53" s="10"/>
      <c r="AJ53" s="11"/>
      <c r="AK53" s="11"/>
      <c r="AL53" t="s">
        <v>4</v>
      </c>
      <c r="AM53" s="10"/>
      <c r="AN53" s="10"/>
      <c r="AO53" s="10"/>
      <c r="AP53" s="11"/>
      <c r="AQ53" s="11"/>
      <c r="AR53" t="s">
        <v>4</v>
      </c>
      <c r="AS53" s="10"/>
      <c r="AT53" s="10"/>
      <c r="AU53" s="10"/>
      <c r="AV53" s="11"/>
      <c r="AW53" s="11"/>
      <c r="AX53" t="s">
        <v>4</v>
      </c>
      <c r="AY53" s="10"/>
      <c r="AZ53" s="10"/>
      <c r="BA53" s="10"/>
      <c r="BB53" s="11"/>
      <c r="BC53" s="12"/>
      <c r="BG53">
        <f t="shared" si="0"/>
        <v>0</v>
      </c>
      <c r="BH53">
        <f t="shared" si="1"/>
        <v>0</v>
      </c>
      <c r="BI53">
        <f t="shared" si="2"/>
        <v>0</v>
      </c>
      <c r="BJ53">
        <f t="shared" si="3"/>
        <v>0</v>
      </c>
      <c r="BK53">
        <f t="shared" si="4"/>
        <v>0</v>
      </c>
      <c r="BL53">
        <f t="shared" si="5"/>
        <v>0</v>
      </c>
      <c r="BM53">
        <f t="shared" si="6"/>
        <v>0</v>
      </c>
      <c r="BN53">
        <f t="shared" si="7"/>
        <v>0</v>
      </c>
    </row>
    <row r="54" spans="1:67" hidden="1">
      <c r="A54" t="s">
        <v>54</v>
      </c>
      <c r="C54" s="12"/>
      <c r="D54" s="11"/>
      <c r="E54" s="11"/>
      <c r="F54" t="s">
        <v>4</v>
      </c>
      <c r="G54" s="10"/>
      <c r="H54" s="10"/>
      <c r="I54" s="10"/>
      <c r="J54" s="11"/>
      <c r="K54" s="11"/>
      <c r="L54" t="s">
        <v>4</v>
      </c>
      <c r="M54" s="10"/>
      <c r="N54" s="10"/>
      <c r="O54" s="10"/>
      <c r="P54" s="11"/>
      <c r="Q54" s="11"/>
      <c r="R54" t="s">
        <v>4</v>
      </c>
      <c r="S54" s="10"/>
      <c r="T54" s="10"/>
      <c r="U54" s="10"/>
      <c r="V54" s="11"/>
      <c r="W54" s="11"/>
      <c r="X54" s="12"/>
      <c r="Y54" t="s">
        <v>4</v>
      </c>
      <c r="Z54" s="10"/>
      <c r="AA54" s="10"/>
      <c r="AB54" s="12"/>
      <c r="AC54" s="12"/>
      <c r="AD54" s="10"/>
      <c r="AE54" s="11"/>
      <c r="AF54" s="11"/>
      <c r="AG54" t="s">
        <v>4</v>
      </c>
      <c r="AH54" s="10"/>
      <c r="AI54" s="10"/>
      <c r="AJ54" s="10"/>
      <c r="AK54" s="11"/>
      <c r="AL54" s="11"/>
      <c r="AM54" t="s">
        <v>4</v>
      </c>
      <c r="AN54" s="10"/>
      <c r="AO54" s="10"/>
      <c r="AP54" s="10"/>
      <c r="AQ54" s="11"/>
      <c r="AR54" s="11"/>
      <c r="AS54" t="s">
        <v>4</v>
      </c>
      <c r="AT54" s="10"/>
      <c r="AU54" s="10"/>
      <c r="AV54" s="10"/>
      <c r="AW54" s="11"/>
      <c r="AX54" s="11"/>
      <c r="AY54" t="s">
        <v>4</v>
      </c>
      <c r="AZ54" s="10"/>
      <c r="BA54" s="10"/>
      <c r="BB54" s="10"/>
      <c r="BC54" s="12"/>
      <c r="BG54">
        <f t="shared" si="0"/>
        <v>0</v>
      </c>
      <c r="BH54">
        <f t="shared" si="1"/>
        <v>0</v>
      </c>
      <c r="BI54">
        <f t="shared" si="2"/>
        <v>0</v>
      </c>
      <c r="BJ54">
        <f t="shared" si="3"/>
        <v>0</v>
      </c>
      <c r="BK54">
        <f t="shared" si="4"/>
        <v>0</v>
      </c>
      <c r="BL54">
        <f t="shared" si="5"/>
        <v>0</v>
      </c>
      <c r="BM54">
        <f t="shared" si="6"/>
        <v>0</v>
      </c>
      <c r="BN54">
        <f t="shared" si="7"/>
        <v>0</v>
      </c>
    </row>
    <row r="55" spans="1:67" hidden="1">
      <c r="A55" t="s">
        <v>55</v>
      </c>
      <c r="C55" s="12"/>
      <c r="D55" s="10"/>
      <c r="E55" s="11"/>
      <c r="F55" s="11"/>
      <c r="G55" t="s">
        <v>4</v>
      </c>
      <c r="H55" s="10"/>
      <c r="I55" s="10"/>
      <c r="J55" s="10"/>
      <c r="K55" s="11"/>
      <c r="L55" s="11"/>
      <c r="M55" t="s">
        <v>4</v>
      </c>
      <c r="N55" s="10"/>
      <c r="O55" s="10"/>
      <c r="P55" s="10"/>
      <c r="Q55" s="11"/>
      <c r="R55" s="11"/>
      <c r="S55" t="s">
        <v>4</v>
      </c>
      <c r="T55" s="10"/>
      <c r="U55" s="10"/>
      <c r="V55" s="10"/>
      <c r="W55" s="11"/>
      <c r="X55" s="12"/>
      <c r="Y55" s="11"/>
      <c r="Z55" t="s">
        <v>4</v>
      </c>
      <c r="AA55" s="10"/>
      <c r="AB55" s="12"/>
      <c r="AC55" s="12"/>
      <c r="AD55" s="10"/>
      <c r="AE55" s="10"/>
      <c r="AF55" s="11"/>
      <c r="AG55" s="11"/>
      <c r="AH55" t="s">
        <v>4</v>
      </c>
      <c r="AI55" s="10"/>
      <c r="AJ55" s="10"/>
      <c r="AK55" s="10"/>
      <c r="AL55" s="11"/>
      <c r="AM55" s="11"/>
      <c r="AN55" t="s">
        <v>4</v>
      </c>
      <c r="AO55" s="10"/>
      <c r="AP55" s="10"/>
      <c r="AQ55" s="10"/>
      <c r="AR55" s="11"/>
      <c r="AS55" s="11"/>
      <c r="AT55" t="s">
        <v>4</v>
      </c>
      <c r="AU55" s="10"/>
      <c r="AV55" s="10"/>
      <c r="AW55" s="10"/>
      <c r="AX55" s="11"/>
      <c r="AY55" s="11"/>
      <c r="AZ55" t="s">
        <v>4</v>
      </c>
      <c r="BA55" s="10"/>
      <c r="BB55" s="10"/>
      <c r="BC55" s="12"/>
      <c r="BG55">
        <f t="shared" si="0"/>
        <v>0</v>
      </c>
      <c r="BH55">
        <f t="shared" si="1"/>
        <v>0</v>
      </c>
      <c r="BI55">
        <f t="shared" si="2"/>
        <v>0</v>
      </c>
      <c r="BJ55">
        <f t="shared" si="3"/>
        <v>0</v>
      </c>
      <c r="BK55">
        <f t="shared" si="4"/>
        <v>0</v>
      </c>
      <c r="BL55">
        <f t="shared" si="5"/>
        <v>0</v>
      </c>
      <c r="BM55">
        <f t="shared" si="6"/>
        <v>0</v>
      </c>
      <c r="BN55">
        <f t="shared" si="7"/>
        <v>0</v>
      </c>
    </row>
    <row r="56" spans="1:67" hidden="1">
      <c r="A56" t="s">
        <v>56</v>
      </c>
      <c r="C56" s="12"/>
      <c r="D56" s="10"/>
      <c r="E56" s="10"/>
      <c r="F56" s="11"/>
      <c r="G56" s="11"/>
      <c r="H56" t="s">
        <v>4</v>
      </c>
      <c r="I56" s="10"/>
      <c r="J56" s="10"/>
      <c r="K56" s="10"/>
      <c r="L56" s="11"/>
      <c r="M56" s="11"/>
      <c r="N56" t="s">
        <v>4</v>
      </c>
      <c r="O56" s="10"/>
      <c r="P56" s="10"/>
      <c r="Q56" s="10"/>
      <c r="R56" s="11"/>
      <c r="S56" s="11"/>
      <c r="T56" t="s">
        <v>4</v>
      </c>
      <c r="U56" s="10"/>
      <c r="V56" s="10"/>
      <c r="W56" s="10"/>
      <c r="X56" s="12"/>
      <c r="Y56" s="11"/>
      <c r="Z56" s="11"/>
      <c r="AA56" t="s">
        <v>4</v>
      </c>
      <c r="AB56" s="12"/>
      <c r="AC56" s="12"/>
      <c r="AD56" s="10"/>
      <c r="AE56" s="10"/>
      <c r="AF56" s="10"/>
      <c r="AG56" s="11"/>
      <c r="AH56" s="11"/>
      <c r="AI56" t="s">
        <v>4</v>
      </c>
      <c r="AJ56" s="10"/>
      <c r="AK56" s="10"/>
      <c r="AL56" s="10"/>
      <c r="AM56" s="11"/>
      <c r="AN56" s="11"/>
      <c r="AO56" t="s">
        <v>4</v>
      </c>
      <c r="AP56" s="10"/>
      <c r="AQ56" s="10"/>
      <c r="AR56" s="10"/>
      <c r="AS56" s="11"/>
      <c r="AT56" s="11"/>
      <c r="AU56" t="s">
        <v>4</v>
      </c>
      <c r="AV56" s="10"/>
      <c r="AW56" s="10"/>
      <c r="AX56" s="10"/>
      <c r="AY56" s="11"/>
      <c r="AZ56" s="11"/>
      <c r="BA56" t="s">
        <v>4</v>
      </c>
      <c r="BB56" s="10"/>
      <c r="BC56" s="12"/>
      <c r="BG56">
        <f t="shared" si="0"/>
        <v>0</v>
      </c>
      <c r="BH56">
        <f t="shared" si="1"/>
        <v>0</v>
      </c>
      <c r="BI56">
        <f t="shared" si="2"/>
        <v>0</v>
      </c>
      <c r="BJ56">
        <f t="shared" si="3"/>
        <v>0</v>
      </c>
      <c r="BK56">
        <f t="shared" si="4"/>
        <v>0</v>
      </c>
      <c r="BL56">
        <f t="shared" si="5"/>
        <v>0</v>
      </c>
      <c r="BM56">
        <f t="shared" si="6"/>
        <v>0</v>
      </c>
      <c r="BN56">
        <f t="shared" si="7"/>
        <v>0</v>
      </c>
    </row>
    <row r="57" spans="1:67" hidden="1">
      <c r="A57" t="s">
        <v>57</v>
      </c>
      <c r="C57" s="12"/>
      <c r="D57" s="10"/>
      <c r="E57" s="10"/>
      <c r="F57" s="10"/>
      <c r="G57" s="11"/>
      <c r="H57" s="11"/>
      <c r="I57" t="s">
        <v>4</v>
      </c>
      <c r="J57" s="10"/>
      <c r="K57" s="10"/>
      <c r="L57" s="10"/>
      <c r="M57" s="11"/>
      <c r="N57" s="11"/>
      <c r="O57" t="s">
        <v>4</v>
      </c>
      <c r="P57" s="10"/>
      <c r="Q57" s="10"/>
      <c r="R57" s="10"/>
      <c r="S57" s="11"/>
      <c r="T57" s="11"/>
      <c r="U57" t="s">
        <v>4</v>
      </c>
      <c r="V57" s="10"/>
      <c r="W57" s="10"/>
      <c r="X57" s="12"/>
      <c r="Y57" s="10"/>
      <c r="Z57" s="11"/>
      <c r="AA57" s="11"/>
      <c r="AB57" s="12"/>
      <c r="AC57" s="12"/>
      <c r="AD57" t="s">
        <v>4</v>
      </c>
      <c r="AE57" s="10"/>
      <c r="AF57" s="10"/>
      <c r="AG57" s="10"/>
      <c r="AH57" s="11"/>
      <c r="AI57" s="11"/>
      <c r="AJ57" t="s">
        <v>4</v>
      </c>
      <c r="AK57" s="10"/>
      <c r="AL57" s="10"/>
      <c r="AM57" s="10"/>
      <c r="AN57" s="11"/>
      <c r="AO57" s="11"/>
      <c r="AP57" t="s">
        <v>4</v>
      </c>
      <c r="AQ57" s="10"/>
      <c r="AR57" s="10"/>
      <c r="AS57" s="10"/>
      <c r="AT57" s="11"/>
      <c r="AU57" s="11"/>
      <c r="AV57" t="s">
        <v>4</v>
      </c>
      <c r="AW57" s="10"/>
      <c r="AX57" s="10"/>
      <c r="AY57" s="10"/>
      <c r="AZ57" s="11"/>
      <c r="BA57" s="11"/>
      <c r="BB57" t="s">
        <v>4</v>
      </c>
      <c r="BC57" s="12"/>
      <c r="BG57">
        <f t="shared" si="0"/>
        <v>0</v>
      </c>
      <c r="BH57">
        <f t="shared" si="1"/>
        <v>0</v>
      </c>
      <c r="BI57">
        <f t="shared" si="2"/>
        <v>0</v>
      </c>
      <c r="BJ57">
        <f t="shared" si="3"/>
        <v>0</v>
      </c>
      <c r="BK57">
        <f t="shared" si="4"/>
        <v>0</v>
      </c>
      <c r="BL57">
        <f t="shared" si="5"/>
        <v>0</v>
      </c>
      <c r="BM57">
        <f t="shared" si="6"/>
        <v>0</v>
      </c>
      <c r="BN57">
        <f t="shared" si="7"/>
        <v>0</v>
      </c>
    </row>
    <row r="58" spans="1:67" hidden="1">
      <c r="A58" t="s">
        <v>58</v>
      </c>
      <c r="C58" s="12"/>
      <c r="D58" t="s">
        <v>4</v>
      </c>
      <c r="E58" s="10"/>
      <c r="F58" s="10"/>
      <c r="G58" s="10"/>
      <c r="H58" s="11"/>
      <c r="I58" s="11"/>
      <c r="J58" t="s">
        <v>4</v>
      </c>
      <c r="K58" s="10"/>
      <c r="L58" s="10"/>
      <c r="M58" s="10"/>
      <c r="N58" s="11"/>
      <c r="O58" s="11"/>
      <c r="P58" t="s">
        <v>4</v>
      </c>
      <c r="Q58" s="10"/>
      <c r="R58" s="10"/>
      <c r="S58" s="10"/>
      <c r="T58" s="11"/>
      <c r="U58" s="11"/>
      <c r="V58" t="s">
        <v>4</v>
      </c>
      <c r="W58" s="10"/>
      <c r="X58" s="12"/>
      <c r="Y58" s="10"/>
      <c r="Z58" s="10"/>
      <c r="AA58" s="11"/>
      <c r="AB58" s="12"/>
      <c r="AC58" s="12"/>
      <c r="AD58" s="11"/>
      <c r="AE58" t="s">
        <v>4</v>
      </c>
      <c r="AF58" s="10"/>
      <c r="AG58" s="10"/>
      <c r="AH58" s="10"/>
      <c r="AI58" s="11"/>
      <c r="AJ58" s="11"/>
      <c r="AK58" t="s">
        <v>4</v>
      </c>
      <c r="AL58" s="10"/>
      <c r="AM58" s="10"/>
      <c r="AN58" s="10"/>
      <c r="AO58" s="11"/>
      <c r="AP58" s="11"/>
      <c r="AQ58" t="s">
        <v>4</v>
      </c>
      <c r="AR58" s="10"/>
      <c r="AS58" s="10"/>
      <c r="AT58" s="10"/>
      <c r="AU58" s="11"/>
      <c r="AV58" s="11"/>
      <c r="AW58" t="s">
        <v>4</v>
      </c>
      <c r="AX58" s="10"/>
      <c r="AY58" s="10"/>
      <c r="AZ58" s="10"/>
      <c r="BA58" s="11"/>
      <c r="BB58" s="11"/>
      <c r="BC58" s="12"/>
      <c r="BG58">
        <f t="shared" si="0"/>
        <v>0</v>
      </c>
      <c r="BH58">
        <f t="shared" si="1"/>
        <v>0</v>
      </c>
      <c r="BI58">
        <f t="shared" si="2"/>
        <v>0</v>
      </c>
      <c r="BJ58">
        <f t="shared" si="3"/>
        <v>0</v>
      </c>
      <c r="BK58">
        <f t="shared" si="4"/>
        <v>0</v>
      </c>
      <c r="BL58">
        <f t="shared" si="5"/>
        <v>0</v>
      </c>
      <c r="BM58">
        <f t="shared" si="6"/>
        <v>0</v>
      </c>
      <c r="BN58">
        <f t="shared" si="7"/>
        <v>0</v>
      </c>
    </row>
    <row r="59" spans="1:67" hidden="1">
      <c r="A59" t="s">
        <v>59</v>
      </c>
      <c r="C59" s="12"/>
      <c r="D59" s="11"/>
      <c r="E59" t="s">
        <v>4</v>
      </c>
      <c r="F59" s="10"/>
      <c r="G59" s="10"/>
      <c r="H59" s="10"/>
      <c r="I59" s="11"/>
      <c r="J59" s="11"/>
      <c r="K59" t="s">
        <v>4</v>
      </c>
      <c r="L59" s="10"/>
      <c r="M59" s="10"/>
      <c r="N59" s="10"/>
      <c r="O59" s="11"/>
      <c r="P59" s="11"/>
      <c r="Q59" t="s">
        <v>4</v>
      </c>
      <c r="R59" s="10"/>
      <c r="S59" s="10"/>
      <c r="T59" s="10"/>
      <c r="U59" s="11"/>
      <c r="V59" s="11"/>
      <c r="W59" t="s">
        <v>4</v>
      </c>
      <c r="X59" s="12"/>
      <c r="Y59" s="10"/>
      <c r="Z59" s="10"/>
      <c r="AA59" s="10"/>
      <c r="AB59" s="12"/>
      <c r="AC59" s="12"/>
      <c r="AD59" s="11"/>
      <c r="AE59" s="11"/>
      <c r="AF59" t="s">
        <v>4</v>
      </c>
      <c r="AG59" s="10"/>
      <c r="AH59" s="10"/>
      <c r="AI59" s="10"/>
      <c r="AJ59" s="11"/>
      <c r="AK59" s="11"/>
      <c r="AL59" t="s">
        <v>4</v>
      </c>
      <c r="AM59" s="10"/>
      <c r="AN59" s="10"/>
      <c r="AO59" s="10"/>
      <c r="AP59" s="11"/>
      <c r="AQ59" s="11"/>
      <c r="AR59" t="s">
        <v>4</v>
      </c>
      <c r="AS59" s="10"/>
      <c r="AT59" s="10"/>
      <c r="AU59" s="10"/>
      <c r="AV59" s="11"/>
      <c r="AW59" s="11"/>
      <c r="AX59" t="s">
        <v>4</v>
      </c>
      <c r="AY59" s="10"/>
      <c r="AZ59" s="10"/>
      <c r="BA59" s="10"/>
      <c r="BB59" s="11"/>
      <c r="BC59" s="12"/>
      <c r="BG59">
        <f t="shared" si="0"/>
        <v>0</v>
      </c>
      <c r="BH59">
        <f t="shared" si="1"/>
        <v>0</v>
      </c>
      <c r="BI59">
        <f t="shared" si="2"/>
        <v>0</v>
      </c>
      <c r="BJ59">
        <f t="shared" si="3"/>
        <v>0</v>
      </c>
      <c r="BK59">
        <f t="shared" si="4"/>
        <v>0</v>
      </c>
      <c r="BL59">
        <f t="shared" si="5"/>
        <v>0</v>
      </c>
      <c r="BM59">
        <f t="shared" si="6"/>
        <v>0</v>
      </c>
      <c r="BN59">
        <f>COUNTIF(D59:BC59, "jeopardy")</f>
        <v>0</v>
      </c>
    </row>
    <row r="60" spans="1:67">
      <c r="A60" t="s">
        <v>60</v>
      </c>
      <c r="C60" s="12"/>
      <c r="D60" t="s">
        <v>4</v>
      </c>
      <c r="E60" s="20"/>
      <c r="F60" s="20"/>
      <c r="G60" s="20"/>
      <c r="H60" s="19"/>
      <c r="I60" s="19"/>
      <c r="J60" t="s">
        <v>4</v>
      </c>
      <c r="K60" s="20"/>
      <c r="L60" s="20"/>
      <c r="M60" s="20"/>
      <c r="N60" s="19"/>
      <c r="O60" s="19"/>
      <c r="P60" t="s">
        <v>4</v>
      </c>
      <c r="Q60" s="20"/>
      <c r="R60" s="20"/>
      <c r="S60" s="20"/>
      <c r="T60" s="19"/>
      <c r="U60" s="19"/>
      <c r="V60" t="s">
        <v>4</v>
      </c>
      <c r="W60" s="20"/>
      <c r="X60" s="12"/>
      <c r="Y60" s="20"/>
      <c r="Z60" s="20"/>
      <c r="AA60" s="19"/>
      <c r="AB60" s="12"/>
      <c r="AC60" s="12"/>
      <c r="AD60" s="19"/>
      <c r="AE60" t="s">
        <v>4</v>
      </c>
      <c r="AF60" s="20"/>
      <c r="AG60" s="20"/>
      <c r="AH60" s="20"/>
      <c r="AI60" s="19"/>
      <c r="AJ60" s="19"/>
      <c r="AK60" t="s">
        <v>4</v>
      </c>
      <c r="AL60" s="20"/>
      <c r="AM60" s="20"/>
      <c r="AN60" s="20"/>
      <c r="AO60" s="19"/>
      <c r="AP60" s="19"/>
      <c r="AQ60" t="s">
        <v>4</v>
      </c>
      <c r="AR60" s="20"/>
      <c r="AS60" s="20"/>
      <c r="AT60" s="20"/>
      <c r="AU60" s="19"/>
      <c r="AV60" s="19"/>
      <c r="AW60" t="s">
        <v>4</v>
      </c>
      <c r="AX60" s="20"/>
      <c r="AY60" s="20"/>
      <c r="AZ60" s="20"/>
      <c r="BA60" s="19"/>
      <c r="BB60" s="19"/>
      <c r="BC60" s="12"/>
      <c r="BG60">
        <f>COUNTIF(D60:BC60, "iSLUH*")</f>
        <v>0</v>
      </c>
      <c r="BH60">
        <f>COUNTIF(D60:BC60, "iVA*")</f>
        <v>0</v>
      </c>
      <c r="BI60">
        <f>COUNTIF(D60:BC60, "iMICU*")</f>
        <v>0</v>
      </c>
      <c r="BJ60">
        <f>COUNTIF(D60:BC60, "iNF*")</f>
        <v>0</v>
      </c>
      <c r="BK60" t="s">
        <v>145</v>
      </c>
      <c r="BL60">
        <f>COUNTIF(D60:BC60, "iCar*")</f>
        <v>0</v>
      </c>
      <c r="BM60" t="s">
        <v>145</v>
      </c>
      <c r="BN60">
        <f>COUNTIF(D60:BC60, "jeopardy")</f>
        <v>0</v>
      </c>
      <c r="BO60">
        <f>COUNTIF(D59:BC59, "Swing")</f>
        <v>0</v>
      </c>
    </row>
    <row r="61" spans="1:67">
      <c r="A61" t="s">
        <v>61</v>
      </c>
      <c r="C61" s="12"/>
      <c r="D61" s="19"/>
      <c r="E61" t="s">
        <v>4</v>
      </c>
      <c r="F61" s="20"/>
      <c r="G61" s="20"/>
      <c r="H61" s="20"/>
      <c r="I61" s="19"/>
      <c r="J61" s="19"/>
      <c r="K61" t="s">
        <v>4</v>
      </c>
      <c r="L61" s="20"/>
      <c r="M61" s="20"/>
      <c r="N61" s="20"/>
      <c r="O61" s="19"/>
      <c r="P61" s="19"/>
      <c r="Q61" t="s">
        <v>4</v>
      </c>
      <c r="R61" s="20"/>
      <c r="S61" s="20"/>
      <c r="T61" s="20"/>
      <c r="U61" s="19"/>
      <c r="V61" s="19"/>
      <c r="W61" t="s">
        <v>4</v>
      </c>
      <c r="X61" s="12"/>
      <c r="Y61" s="20"/>
      <c r="Z61" s="20"/>
      <c r="AA61" s="20"/>
      <c r="AB61" s="12"/>
      <c r="AC61" s="12"/>
      <c r="AD61" s="19"/>
      <c r="AE61" s="19"/>
      <c r="AF61" t="s">
        <v>4</v>
      </c>
      <c r="AG61" s="20"/>
      <c r="AH61" s="20"/>
      <c r="AI61" s="20"/>
      <c r="AJ61" s="19"/>
      <c r="AK61" s="19"/>
      <c r="AL61" t="s">
        <v>4</v>
      </c>
      <c r="AM61" s="20"/>
      <c r="AN61" s="20"/>
      <c r="AO61" s="20"/>
      <c r="AP61" s="19"/>
      <c r="AQ61" s="19"/>
      <c r="AR61" t="s">
        <v>4</v>
      </c>
      <c r="AS61" s="20"/>
      <c r="AT61" s="20"/>
      <c r="AU61" s="20"/>
      <c r="AV61" s="19"/>
      <c r="AW61" s="19"/>
      <c r="AX61" t="s">
        <v>4</v>
      </c>
      <c r="AY61" s="20"/>
      <c r="AZ61" s="20"/>
      <c r="BA61" s="20"/>
      <c r="BB61" s="19"/>
      <c r="BC61" s="12"/>
      <c r="BG61">
        <f t="shared" ref="BG61:BG94" si="8">COUNTIF(D61:BC61, "iSLUH*")</f>
        <v>0</v>
      </c>
      <c r="BH61">
        <f t="shared" ref="BH61:BH94" si="9">COUNTIF(D61:BC61, "iVA*")</f>
        <v>0</v>
      </c>
      <c r="BI61">
        <f t="shared" ref="BI61:BI94" si="10">COUNTIF(D61:BC61, "iMICU*")</f>
        <v>0</v>
      </c>
      <c r="BJ61">
        <f t="shared" ref="BJ61:BJ94" si="11">COUNTIF(D61:BC61, "iNF*")</f>
        <v>0</v>
      </c>
      <c r="BK61" t="s">
        <v>145</v>
      </c>
      <c r="BL61">
        <f t="shared" ref="BL61:BL94" si="12">COUNTIF(D61:BC61, "iCar*")</f>
        <v>0</v>
      </c>
      <c r="BM61" t="s">
        <v>145</v>
      </c>
      <c r="BN61">
        <f t="shared" ref="BN61:BN94" si="13">COUNTIF(D61:BC61, "jeopardy")</f>
        <v>0</v>
      </c>
      <c r="BO61">
        <f t="shared" ref="BO61:BO94" si="14">COUNTIF(D60:BC60, "Swing")</f>
        <v>0</v>
      </c>
    </row>
    <row r="62" spans="1:67">
      <c r="A62" t="s">
        <v>62</v>
      </c>
      <c r="C62" s="12"/>
      <c r="D62" s="20"/>
      <c r="E62" s="19"/>
      <c r="F62" t="s">
        <v>4</v>
      </c>
      <c r="G62" s="20"/>
      <c r="H62" s="20"/>
      <c r="I62" s="20"/>
      <c r="J62" s="19"/>
      <c r="K62" s="19"/>
      <c r="L62" t="s">
        <v>4</v>
      </c>
      <c r="M62" s="20"/>
      <c r="N62" s="20"/>
      <c r="O62" s="20"/>
      <c r="P62" s="19"/>
      <c r="Q62" s="19"/>
      <c r="R62" t="s">
        <v>4</v>
      </c>
      <c r="S62" s="20"/>
      <c r="T62" s="20"/>
      <c r="U62" s="20"/>
      <c r="V62" s="19"/>
      <c r="W62" s="19"/>
      <c r="X62" s="12"/>
      <c r="Y62" t="s">
        <v>4</v>
      </c>
      <c r="Z62" s="20"/>
      <c r="AA62" s="20"/>
      <c r="AB62" s="12"/>
      <c r="AC62" s="12"/>
      <c r="AD62" s="20"/>
      <c r="AE62" s="19"/>
      <c r="AF62" s="19"/>
      <c r="AG62" t="s">
        <v>4</v>
      </c>
      <c r="AH62" s="20"/>
      <c r="AI62" s="20"/>
      <c r="AJ62" s="20"/>
      <c r="AK62" s="19"/>
      <c r="AL62" s="19"/>
      <c r="AM62" t="s">
        <v>4</v>
      </c>
      <c r="AN62" s="20"/>
      <c r="AO62" s="20"/>
      <c r="AP62" s="20"/>
      <c r="AQ62" s="19"/>
      <c r="AR62" s="19"/>
      <c r="AS62" t="s">
        <v>4</v>
      </c>
      <c r="AT62" s="20"/>
      <c r="AU62" s="20"/>
      <c r="AV62" s="20"/>
      <c r="AW62" s="19"/>
      <c r="AX62" s="19"/>
      <c r="AY62" t="s">
        <v>4</v>
      </c>
      <c r="AZ62" s="20"/>
      <c r="BA62" s="20"/>
      <c r="BB62" s="20"/>
      <c r="BC62" s="12"/>
      <c r="BG62">
        <f t="shared" si="8"/>
        <v>0</v>
      </c>
      <c r="BH62">
        <f t="shared" si="9"/>
        <v>0</v>
      </c>
      <c r="BI62">
        <f t="shared" si="10"/>
        <v>0</v>
      </c>
      <c r="BJ62">
        <f t="shared" si="11"/>
        <v>0</v>
      </c>
      <c r="BK62" t="s">
        <v>145</v>
      </c>
      <c r="BL62">
        <f t="shared" si="12"/>
        <v>0</v>
      </c>
      <c r="BM62" t="s">
        <v>145</v>
      </c>
      <c r="BN62">
        <f t="shared" si="13"/>
        <v>0</v>
      </c>
      <c r="BO62">
        <f t="shared" si="14"/>
        <v>0</v>
      </c>
    </row>
    <row r="63" spans="1:67">
      <c r="A63" t="s">
        <v>63</v>
      </c>
      <c r="C63" s="12"/>
      <c r="D63" s="20"/>
      <c r="E63" s="20"/>
      <c r="F63" s="20"/>
      <c r="G63" t="s">
        <v>4</v>
      </c>
      <c r="H63" s="20"/>
      <c r="I63" s="20"/>
      <c r="J63" s="20"/>
      <c r="K63" s="19"/>
      <c r="L63" s="19"/>
      <c r="M63" t="s">
        <v>4</v>
      </c>
      <c r="N63" s="20"/>
      <c r="O63" s="20"/>
      <c r="P63" s="20"/>
      <c r="Q63" s="19"/>
      <c r="R63" s="19"/>
      <c r="S63" t="s">
        <v>4</v>
      </c>
      <c r="T63" s="20"/>
      <c r="U63" s="20"/>
      <c r="V63" s="20"/>
      <c r="W63" s="19"/>
      <c r="X63" s="12"/>
      <c r="Y63" s="19"/>
      <c r="Z63" t="s">
        <v>4</v>
      </c>
      <c r="AA63" s="20"/>
      <c r="AB63" s="12"/>
      <c r="AC63" s="12"/>
      <c r="AD63" s="20"/>
      <c r="AE63" s="20"/>
      <c r="AF63" s="19"/>
      <c r="AG63" s="19"/>
      <c r="AH63" t="s">
        <v>4</v>
      </c>
      <c r="AI63" s="20"/>
      <c r="AJ63" s="20"/>
      <c r="AK63" s="20"/>
      <c r="AL63" s="19"/>
      <c r="AM63" s="19"/>
      <c r="AN63" t="s">
        <v>4</v>
      </c>
      <c r="AO63" s="20"/>
      <c r="AP63" s="20"/>
      <c r="AQ63" s="20"/>
      <c r="AR63" s="19"/>
      <c r="AS63" s="19"/>
      <c r="AT63" t="s">
        <v>4</v>
      </c>
      <c r="AU63" s="20"/>
      <c r="AV63" s="20"/>
      <c r="AW63" s="20"/>
      <c r="AX63" s="19"/>
      <c r="AY63" s="19"/>
      <c r="AZ63" t="s">
        <v>4</v>
      </c>
      <c r="BA63" s="20"/>
      <c r="BB63" s="20"/>
      <c r="BC63" s="12"/>
      <c r="BG63">
        <f t="shared" si="8"/>
        <v>0</v>
      </c>
      <c r="BH63">
        <f t="shared" si="9"/>
        <v>0</v>
      </c>
      <c r="BI63">
        <f t="shared" si="10"/>
        <v>0</v>
      </c>
      <c r="BJ63">
        <f t="shared" si="11"/>
        <v>0</v>
      </c>
      <c r="BK63" t="s">
        <v>145</v>
      </c>
      <c r="BL63">
        <f t="shared" si="12"/>
        <v>0</v>
      </c>
      <c r="BM63" t="s">
        <v>145</v>
      </c>
      <c r="BN63">
        <f t="shared" si="13"/>
        <v>0</v>
      </c>
      <c r="BO63">
        <f t="shared" si="14"/>
        <v>0</v>
      </c>
    </row>
    <row r="64" spans="1:67">
      <c r="A64" t="s">
        <v>64</v>
      </c>
      <c r="C64" s="12"/>
      <c r="D64" s="20"/>
      <c r="E64" s="20"/>
      <c r="F64" s="19"/>
      <c r="G64" s="19"/>
      <c r="H64" t="s">
        <v>4</v>
      </c>
      <c r="I64" s="20"/>
      <c r="J64" s="20"/>
      <c r="K64" s="20"/>
      <c r="L64" s="19"/>
      <c r="M64" s="19"/>
      <c r="N64" t="s">
        <v>4</v>
      </c>
      <c r="O64" s="20"/>
      <c r="P64" s="20"/>
      <c r="Q64" s="20"/>
      <c r="R64" s="19"/>
      <c r="S64" s="19"/>
      <c r="T64" t="s">
        <v>4</v>
      </c>
      <c r="U64" s="20"/>
      <c r="V64" s="20"/>
      <c r="W64" s="20"/>
      <c r="X64" s="12"/>
      <c r="Y64" s="19"/>
      <c r="Z64" s="19"/>
      <c r="AA64" t="s">
        <v>4</v>
      </c>
      <c r="AB64" s="12"/>
      <c r="AC64" s="12"/>
      <c r="AD64" s="20"/>
      <c r="AE64" s="20"/>
      <c r="AF64" s="20"/>
      <c r="AG64" s="19"/>
      <c r="AH64" s="19"/>
      <c r="AI64" t="s">
        <v>4</v>
      </c>
      <c r="AJ64" s="20"/>
      <c r="AK64" s="20"/>
      <c r="AL64" s="20"/>
      <c r="AM64" s="19"/>
      <c r="AN64" s="19"/>
      <c r="AO64" t="s">
        <v>4</v>
      </c>
      <c r="AP64" s="20"/>
      <c r="AQ64" s="20"/>
      <c r="AR64" s="20"/>
      <c r="AS64" s="19"/>
      <c r="AT64" s="19"/>
      <c r="AU64" t="s">
        <v>4</v>
      </c>
      <c r="AV64" s="20"/>
      <c r="AW64" s="20"/>
      <c r="AX64" s="20"/>
      <c r="AY64" s="19"/>
      <c r="AZ64" s="19"/>
      <c r="BA64" t="s">
        <v>4</v>
      </c>
      <c r="BB64" s="20"/>
      <c r="BC64" s="12"/>
      <c r="BG64">
        <f t="shared" si="8"/>
        <v>0</v>
      </c>
      <c r="BH64">
        <f t="shared" si="9"/>
        <v>0</v>
      </c>
      <c r="BI64">
        <f t="shared" si="10"/>
        <v>0</v>
      </c>
      <c r="BJ64">
        <f t="shared" si="11"/>
        <v>0</v>
      </c>
      <c r="BK64" t="s">
        <v>145</v>
      </c>
      <c r="BL64">
        <f t="shared" si="12"/>
        <v>0</v>
      </c>
      <c r="BM64" t="s">
        <v>145</v>
      </c>
      <c r="BN64">
        <f t="shared" si="13"/>
        <v>0</v>
      </c>
      <c r="BO64">
        <f t="shared" si="14"/>
        <v>0</v>
      </c>
    </row>
    <row r="65" spans="1:67">
      <c r="A65" t="s">
        <v>65</v>
      </c>
      <c r="C65" s="12"/>
      <c r="D65" s="20"/>
      <c r="E65" s="20"/>
      <c r="F65" s="20"/>
      <c r="G65" s="19"/>
      <c r="H65" s="19"/>
      <c r="I65" t="s">
        <v>4</v>
      </c>
      <c r="J65" s="20"/>
      <c r="K65" s="20"/>
      <c r="L65" s="20"/>
      <c r="M65" s="19"/>
      <c r="N65" s="19"/>
      <c r="O65" t="s">
        <v>4</v>
      </c>
      <c r="P65" s="20"/>
      <c r="Q65" s="20"/>
      <c r="R65" s="20"/>
      <c r="S65" s="19"/>
      <c r="T65" s="19"/>
      <c r="U65" t="s">
        <v>4</v>
      </c>
      <c r="V65" s="20"/>
      <c r="W65" s="20"/>
      <c r="X65" s="12"/>
      <c r="Y65" s="20"/>
      <c r="Z65" s="19"/>
      <c r="AA65" s="19"/>
      <c r="AB65" s="12"/>
      <c r="AC65" s="12"/>
      <c r="AD65" t="s">
        <v>4</v>
      </c>
      <c r="AE65" s="20"/>
      <c r="AF65" s="20"/>
      <c r="AG65" s="20"/>
      <c r="AH65" s="19"/>
      <c r="AI65" s="19"/>
      <c r="AJ65" t="s">
        <v>4</v>
      </c>
      <c r="AK65" s="20"/>
      <c r="AL65" s="20"/>
      <c r="AM65" s="20"/>
      <c r="AN65" s="19"/>
      <c r="AO65" s="19"/>
      <c r="AP65" t="s">
        <v>4</v>
      </c>
      <c r="AQ65" s="20"/>
      <c r="AR65" s="20"/>
      <c r="AS65" s="20"/>
      <c r="AT65" s="19"/>
      <c r="AU65" s="19"/>
      <c r="AV65" t="s">
        <v>4</v>
      </c>
      <c r="AW65" s="20"/>
      <c r="AX65" s="20"/>
      <c r="AY65" s="20"/>
      <c r="AZ65" s="19"/>
      <c r="BA65" s="19"/>
      <c r="BB65" t="s">
        <v>4</v>
      </c>
      <c r="BC65" s="12"/>
      <c r="BG65">
        <f t="shared" si="8"/>
        <v>0</v>
      </c>
      <c r="BH65">
        <f t="shared" si="9"/>
        <v>0</v>
      </c>
      <c r="BI65">
        <f t="shared" si="10"/>
        <v>0</v>
      </c>
      <c r="BJ65">
        <f t="shared" si="11"/>
        <v>0</v>
      </c>
      <c r="BK65" t="s">
        <v>145</v>
      </c>
      <c r="BL65">
        <f t="shared" si="12"/>
        <v>0</v>
      </c>
      <c r="BM65" t="s">
        <v>145</v>
      </c>
      <c r="BN65">
        <f t="shared" si="13"/>
        <v>0</v>
      </c>
      <c r="BO65">
        <f t="shared" si="14"/>
        <v>0</v>
      </c>
    </row>
    <row r="66" spans="1:67">
      <c r="A66" t="s">
        <v>66</v>
      </c>
      <c r="C66" s="12"/>
      <c r="D66" t="s">
        <v>4</v>
      </c>
      <c r="E66" s="20"/>
      <c r="F66" s="20"/>
      <c r="G66" s="20"/>
      <c r="H66" s="19"/>
      <c r="I66" s="19"/>
      <c r="J66" t="s">
        <v>4</v>
      </c>
      <c r="K66" s="20"/>
      <c r="L66" s="20"/>
      <c r="M66" s="20"/>
      <c r="N66" s="19"/>
      <c r="O66" s="19"/>
      <c r="P66" t="s">
        <v>4</v>
      </c>
      <c r="Q66" s="20"/>
      <c r="R66" s="20"/>
      <c r="S66" s="20"/>
      <c r="T66" s="19"/>
      <c r="U66" s="19"/>
      <c r="V66" t="s">
        <v>4</v>
      </c>
      <c r="W66" s="20"/>
      <c r="X66" s="12"/>
      <c r="Y66" s="20"/>
      <c r="Z66" s="20"/>
      <c r="AA66" s="19"/>
      <c r="AB66" s="12"/>
      <c r="AC66" s="12"/>
      <c r="AD66" s="19"/>
      <c r="AE66" t="s">
        <v>4</v>
      </c>
      <c r="AF66" s="20"/>
      <c r="AG66" s="20"/>
      <c r="AH66" s="20"/>
      <c r="AI66" s="19"/>
      <c r="AJ66" s="19"/>
      <c r="AK66" t="s">
        <v>4</v>
      </c>
      <c r="AL66" s="20"/>
      <c r="AM66" s="20"/>
      <c r="AN66" s="20"/>
      <c r="AO66" s="19"/>
      <c r="AP66" s="19"/>
      <c r="AQ66" t="s">
        <v>4</v>
      </c>
      <c r="AR66" s="20"/>
      <c r="AS66" s="20"/>
      <c r="AT66" s="20"/>
      <c r="AU66" s="19"/>
      <c r="AV66" s="19"/>
      <c r="AW66" t="s">
        <v>4</v>
      </c>
      <c r="AX66" s="20"/>
      <c r="AY66" s="20"/>
      <c r="AZ66" s="20"/>
      <c r="BA66" s="19"/>
      <c r="BB66" s="19"/>
      <c r="BC66" s="12"/>
      <c r="BG66">
        <f t="shared" si="8"/>
        <v>0</v>
      </c>
      <c r="BH66">
        <f t="shared" si="9"/>
        <v>0</v>
      </c>
      <c r="BI66">
        <f t="shared" si="10"/>
        <v>0</v>
      </c>
      <c r="BJ66">
        <f t="shared" si="11"/>
        <v>0</v>
      </c>
      <c r="BK66" t="s">
        <v>145</v>
      </c>
      <c r="BL66">
        <f t="shared" si="12"/>
        <v>0</v>
      </c>
      <c r="BM66" t="s">
        <v>145</v>
      </c>
      <c r="BN66">
        <f t="shared" si="13"/>
        <v>0</v>
      </c>
      <c r="BO66">
        <f t="shared" si="14"/>
        <v>0</v>
      </c>
    </row>
    <row r="67" spans="1:67">
      <c r="A67" t="s">
        <v>67</v>
      </c>
      <c r="C67" s="12"/>
      <c r="D67" s="19"/>
      <c r="E67" t="s">
        <v>4</v>
      </c>
      <c r="F67" s="20"/>
      <c r="G67" s="20"/>
      <c r="H67" s="20"/>
      <c r="I67" s="19"/>
      <c r="J67" s="19"/>
      <c r="K67" t="s">
        <v>4</v>
      </c>
      <c r="L67" s="20"/>
      <c r="M67" s="20"/>
      <c r="N67" s="20"/>
      <c r="O67" s="19"/>
      <c r="P67" s="19"/>
      <c r="Q67" t="s">
        <v>4</v>
      </c>
      <c r="R67" s="20"/>
      <c r="S67" s="20"/>
      <c r="T67" s="20"/>
      <c r="U67" s="19"/>
      <c r="V67" s="19"/>
      <c r="W67" t="s">
        <v>4</v>
      </c>
      <c r="X67" s="12"/>
      <c r="Y67" s="20"/>
      <c r="Z67" s="20"/>
      <c r="AA67" s="20"/>
      <c r="AB67" s="12"/>
      <c r="AC67" s="12"/>
      <c r="AD67" s="19"/>
      <c r="AE67" s="19"/>
      <c r="AF67" t="s">
        <v>4</v>
      </c>
      <c r="AG67" s="20"/>
      <c r="AH67" s="20"/>
      <c r="AI67" s="20"/>
      <c r="AJ67" s="19"/>
      <c r="AK67" s="19"/>
      <c r="AL67" t="s">
        <v>4</v>
      </c>
      <c r="AM67" s="20"/>
      <c r="AN67" s="20"/>
      <c r="AO67" s="20"/>
      <c r="AP67" s="19"/>
      <c r="AQ67" s="19"/>
      <c r="AR67" t="s">
        <v>4</v>
      </c>
      <c r="AS67" s="20"/>
      <c r="AT67" s="20"/>
      <c r="AU67" s="20"/>
      <c r="AV67" s="19"/>
      <c r="AW67" s="19"/>
      <c r="AX67" t="s">
        <v>4</v>
      </c>
      <c r="AY67" s="20"/>
      <c r="AZ67" s="20"/>
      <c r="BA67" s="20"/>
      <c r="BB67" s="19"/>
      <c r="BC67" s="12"/>
      <c r="BG67">
        <f t="shared" si="8"/>
        <v>0</v>
      </c>
      <c r="BH67">
        <f t="shared" si="9"/>
        <v>0</v>
      </c>
      <c r="BI67">
        <f t="shared" si="10"/>
        <v>0</v>
      </c>
      <c r="BJ67">
        <f t="shared" si="11"/>
        <v>0</v>
      </c>
      <c r="BK67" t="s">
        <v>145</v>
      </c>
      <c r="BL67">
        <f t="shared" si="12"/>
        <v>0</v>
      </c>
      <c r="BM67" t="s">
        <v>145</v>
      </c>
      <c r="BN67">
        <f t="shared" si="13"/>
        <v>0</v>
      </c>
      <c r="BO67">
        <f t="shared" si="14"/>
        <v>0</v>
      </c>
    </row>
    <row r="68" spans="1:67">
      <c r="A68" t="s">
        <v>68</v>
      </c>
      <c r="C68" s="12"/>
      <c r="D68" s="20"/>
      <c r="E68" s="19"/>
      <c r="F68" t="s">
        <v>4</v>
      </c>
      <c r="G68" s="20"/>
      <c r="H68" s="20"/>
      <c r="I68" s="20"/>
      <c r="J68" s="19"/>
      <c r="K68" s="19"/>
      <c r="L68" t="s">
        <v>4</v>
      </c>
      <c r="M68" s="20"/>
      <c r="N68" s="20"/>
      <c r="O68" s="20"/>
      <c r="P68" s="19"/>
      <c r="Q68" s="19"/>
      <c r="R68" t="s">
        <v>4</v>
      </c>
      <c r="S68" s="20"/>
      <c r="T68" s="20"/>
      <c r="U68" s="20"/>
      <c r="V68" s="19"/>
      <c r="W68" s="19"/>
      <c r="X68" s="12"/>
      <c r="Y68" t="s">
        <v>4</v>
      </c>
      <c r="Z68" s="20"/>
      <c r="AA68" s="20"/>
      <c r="AB68" s="12"/>
      <c r="AC68" s="12"/>
      <c r="AD68" s="20"/>
      <c r="AE68" s="19"/>
      <c r="AF68" s="19"/>
      <c r="AG68" t="s">
        <v>4</v>
      </c>
      <c r="AH68" s="20"/>
      <c r="AI68" s="20"/>
      <c r="AJ68" s="20"/>
      <c r="AK68" s="19"/>
      <c r="AL68" s="19"/>
      <c r="AM68" t="s">
        <v>4</v>
      </c>
      <c r="AN68" s="20"/>
      <c r="AO68" s="20"/>
      <c r="AP68" s="20"/>
      <c r="AQ68" s="19"/>
      <c r="AR68" s="19"/>
      <c r="AS68" t="s">
        <v>4</v>
      </c>
      <c r="AT68" s="20"/>
      <c r="AU68" s="20"/>
      <c r="AV68" s="20"/>
      <c r="AW68" s="19"/>
      <c r="AX68" s="19"/>
      <c r="AY68" t="s">
        <v>4</v>
      </c>
      <c r="AZ68" s="20"/>
      <c r="BA68" s="20"/>
      <c r="BB68" s="20"/>
      <c r="BC68" s="12"/>
      <c r="BG68">
        <f t="shared" si="8"/>
        <v>0</v>
      </c>
      <c r="BH68">
        <f t="shared" si="9"/>
        <v>0</v>
      </c>
      <c r="BI68">
        <f t="shared" si="10"/>
        <v>0</v>
      </c>
      <c r="BJ68">
        <f t="shared" si="11"/>
        <v>0</v>
      </c>
      <c r="BK68" t="s">
        <v>145</v>
      </c>
      <c r="BL68">
        <f t="shared" si="12"/>
        <v>0</v>
      </c>
      <c r="BM68" t="s">
        <v>145</v>
      </c>
      <c r="BN68">
        <f t="shared" si="13"/>
        <v>0</v>
      </c>
      <c r="BO68">
        <f t="shared" si="14"/>
        <v>0</v>
      </c>
    </row>
    <row r="69" spans="1:67">
      <c r="A69" t="s">
        <v>69</v>
      </c>
      <c r="C69" s="12"/>
      <c r="D69" s="20"/>
      <c r="E69" s="20"/>
      <c r="F69" s="20"/>
      <c r="G69" t="s">
        <v>4</v>
      </c>
      <c r="H69" s="20"/>
      <c r="I69" s="20"/>
      <c r="J69" s="20"/>
      <c r="K69" s="19"/>
      <c r="L69" s="19"/>
      <c r="M69" t="s">
        <v>4</v>
      </c>
      <c r="N69" s="20"/>
      <c r="O69" s="20"/>
      <c r="P69" s="20"/>
      <c r="Q69" s="19"/>
      <c r="R69" s="19"/>
      <c r="S69" t="s">
        <v>4</v>
      </c>
      <c r="T69" s="20"/>
      <c r="U69" s="20"/>
      <c r="V69" s="20"/>
      <c r="W69" s="19"/>
      <c r="X69" s="12"/>
      <c r="Y69" s="19"/>
      <c r="Z69" t="s">
        <v>4</v>
      </c>
      <c r="AA69" s="20"/>
      <c r="AB69" s="12"/>
      <c r="AC69" s="12"/>
      <c r="AD69" s="20"/>
      <c r="AE69" s="20"/>
      <c r="AF69" s="19"/>
      <c r="AG69" s="19"/>
      <c r="AH69" t="s">
        <v>4</v>
      </c>
      <c r="AI69" s="20"/>
      <c r="AJ69" s="20"/>
      <c r="AK69" s="20"/>
      <c r="AL69" s="19"/>
      <c r="AM69" s="19"/>
      <c r="AN69" t="s">
        <v>4</v>
      </c>
      <c r="AO69" s="20"/>
      <c r="AP69" s="20"/>
      <c r="AQ69" s="20"/>
      <c r="AR69" s="19"/>
      <c r="AS69" s="19"/>
      <c r="AT69" t="s">
        <v>4</v>
      </c>
      <c r="AU69" s="20"/>
      <c r="AV69" s="20"/>
      <c r="AW69" s="20"/>
      <c r="AX69" s="19"/>
      <c r="AY69" s="19"/>
      <c r="AZ69" t="s">
        <v>4</v>
      </c>
      <c r="BA69" s="20"/>
      <c r="BB69" s="20"/>
      <c r="BC69" s="12"/>
      <c r="BG69">
        <f t="shared" si="8"/>
        <v>0</v>
      </c>
      <c r="BH69">
        <f t="shared" si="9"/>
        <v>0</v>
      </c>
      <c r="BI69">
        <f t="shared" si="10"/>
        <v>0</v>
      </c>
      <c r="BJ69">
        <f t="shared" si="11"/>
        <v>0</v>
      </c>
      <c r="BK69" t="s">
        <v>145</v>
      </c>
      <c r="BL69">
        <f t="shared" si="12"/>
        <v>0</v>
      </c>
      <c r="BM69" t="s">
        <v>145</v>
      </c>
      <c r="BN69">
        <f t="shared" si="13"/>
        <v>0</v>
      </c>
      <c r="BO69">
        <f t="shared" si="14"/>
        <v>0</v>
      </c>
    </row>
    <row r="70" spans="1:67">
      <c r="A70" t="s">
        <v>70</v>
      </c>
      <c r="C70" s="12"/>
      <c r="D70" s="20"/>
      <c r="E70" s="20"/>
      <c r="F70" s="19"/>
      <c r="G70" s="19"/>
      <c r="H70" t="s">
        <v>4</v>
      </c>
      <c r="I70" s="20"/>
      <c r="J70" s="20"/>
      <c r="K70" s="20"/>
      <c r="L70" s="19"/>
      <c r="M70" s="19"/>
      <c r="N70" t="s">
        <v>4</v>
      </c>
      <c r="O70" s="20"/>
      <c r="P70" s="20"/>
      <c r="Q70" s="20"/>
      <c r="R70" s="19"/>
      <c r="S70" s="19"/>
      <c r="T70" t="s">
        <v>4</v>
      </c>
      <c r="U70" s="20"/>
      <c r="V70" s="20"/>
      <c r="W70" s="20"/>
      <c r="X70" s="12"/>
      <c r="Y70" s="19"/>
      <c r="Z70" s="19"/>
      <c r="AA70" t="s">
        <v>4</v>
      </c>
      <c r="AB70" s="12"/>
      <c r="AC70" s="12"/>
      <c r="AD70" s="20"/>
      <c r="AE70" s="20"/>
      <c r="AF70" s="20"/>
      <c r="AG70" s="19"/>
      <c r="AH70" s="19"/>
      <c r="AI70" t="s">
        <v>4</v>
      </c>
      <c r="AJ70" s="20"/>
      <c r="AK70" s="20"/>
      <c r="AL70" s="20"/>
      <c r="AM70" s="19"/>
      <c r="AN70" s="19"/>
      <c r="AO70" t="s">
        <v>4</v>
      </c>
      <c r="AP70" s="20"/>
      <c r="AQ70" s="20"/>
      <c r="AR70" s="20"/>
      <c r="AS70" s="19"/>
      <c r="AT70" s="19"/>
      <c r="AU70" t="s">
        <v>4</v>
      </c>
      <c r="AV70" s="20"/>
      <c r="AW70" s="20"/>
      <c r="AX70" s="20"/>
      <c r="AY70" s="19"/>
      <c r="AZ70" s="19"/>
      <c r="BA70" t="s">
        <v>4</v>
      </c>
      <c r="BB70" s="20"/>
      <c r="BC70" s="12"/>
      <c r="BG70">
        <f t="shared" si="8"/>
        <v>0</v>
      </c>
      <c r="BH70">
        <f t="shared" si="9"/>
        <v>0</v>
      </c>
      <c r="BI70">
        <f t="shared" si="10"/>
        <v>0</v>
      </c>
      <c r="BJ70">
        <f t="shared" si="11"/>
        <v>0</v>
      </c>
      <c r="BK70" t="s">
        <v>145</v>
      </c>
      <c r="BL70">
        <f t="shared" si="12"/>
        <v>0</v>
      </c>
      <c r="BM70" t="s">
        <v>145</v>
      </c>
      <c r="BN70">
        <f t="shared" si="13"/>
        <v>0</v>
      </c>
      <c r="BO70">
        <f t="shared" si="14"/>
        <v>0</v>
      </c>
    </row>
    <row r="71" spans="1:67">
      <c r="A71" t="s">
        <v>71</v>
      </c>
      <c r="C71" s="12"/>
      <c r="D71" s="20"/>
      <c r="E71" s="20"/>
      <c r="F71" s="20"/>
      <c r="G71" s="19"/>
      <c r="H71" s="19"/>
      <c r="I71" t="s">
        <v>4</v>
      </c>
      <c r="J71" s="20"/>
      <c r="K71" s="20"/>
      <c r="L71" s="20"/>
      <c r="M71" s="19"/>
      <c r="N71" s="19"/>
      <c r="O71" t="s">
        <v>4</v>
      </c>
      <c r="P71" s="20"/>
      <c r="Q71" s="20"/>
      <c r="R71" s="20"/>
      <c r="S71" s="19"/>
      <c r="T71" s="19"/>
      <c r="U71" t="s">
        <v>4</v>
      </c>
      <c r="V71" s="20"/>
      <c r="W71" s="20"/>
      <c r="X71" s="12"/>
      <c r="Y71" s="20"/>
      <c r="Z71" s="19"/>
      <c r="AA71" s="19"/>
      <c r="AB71" s="12"/>
      <c r="AC71" s="12"/>
      <c r="AD71" t="s">
        <v>4</v>
      </c>
      <c r="AE71" s="20"/>
      <c r="AF71" s="20"/>
      <c r="AG71" s="20"/>
      <c r="AH71" s="19"/>
      <c r="AI71" s="19"/>
      <c r="AJ71" t="s">
        <v>4</v>
      </c>
      <c r="AK71" s="20"/>
      <c r="AL71" s="20"/>
      <c r="AM71" s="20"/>
      <c r="AN71" s="19"/>
      <c r="AO71" s="19"/>
      <c r="AP71" t="s">
        <v>4</v>
      </c>
      <c r="AQ71" s="20"/>
      <c r="AR71" s="20"/>
      <c r="AS71" s="20"/>
      <c r="AT71" s="19"/>
      <c r="AU71" s="19"/>
      <c r="AV71" t="s">
        <v>4</v>
      </c>
      <c r="AW71" s="20"/>
      <c r="AX71" s="20"/>
      <c r="AY71" s="20"/>
      <c r="AZ71" s="19"/>
      <c r="BA71" s="19"/>
      <c r="BB71" t="s">
        <v>4</v>
      </c>
      <c r="BC71" s="12"/>
      <c r="BG71">
        <f t="shared" si="8"/>
        <v>0</v>
      </c>
      <c r="BH71">
        <f t="shared" si="9"/>
        <v>0</v>
      </c>
      <c r="BI71">
        <f t="shared" si="10"/>
        <v>0</v>
      </c>
      <c r="BJ71">
        <f t="shared" si="11"/>
        <v>0</v>
      </c>
      <c r="BK71" t="s">
        <v>145</v>
      </c>
      <c r="BL71">
        <f t="shared" si="12"/>
        <v>0</v>
      </c>
      <c r="BM71" t="s">
        <v>145</v>
      </c>
      <c r="BN71">
        <f t="shared" si="13"/>
        <v>0</v>
      </c>
      <c r="BO71">
        <f t="shared" si="14"/>
        <v>0</v>
      </c>
    </row>
    <row r="72" spans="1:67">
      <c r="A72" t="s">
        <v>72</v>
      </c>
      <c r="C72" s="12"/>
      <c r="D72" t="s">
        <v>4</v>
      </c>
      <c r="E72" s="20"/>
      <c r="F72" s="20"/>
      <c r="G72" s="20"/>
      <c r="H72" s="19"/>
      <c r="I72" s="19"/>
      <c r="J72" t="s">
        <v>4</v>
      </c>
      <c r="K72" s="20"/>
      <c r="L72" s="20"/>
      <c r="M72" s="20"/>
      <c r="N72" s="19"/>
      <c r="O72" s="19"/>
      <c r="P72" t="s">
        <v>4</v>
      </c>
      <c r="Q72" s="20"/>
      <c r="R72" s="20"/>
      <c r="S72" s="20"/>
      <c r="T72" s="19"/>
      <c r="U72" s="19"/>
      <c r="V72" t="s">
        <v>4</v>
      </c>
      <c r="W72" s="20"/>
      <c r="X72" s="12"/>
      <c r="Y72" s="20"/>
      <c r="Z72" s="20"/>
      <c r="AA72" s="19"/>
      <c r="AB72" s="12"/>
      <c r="AC72" s="12"/>
      <c r="AD72" s="19"/>
      <c r="AE72" t="s">
        <v>4</v>
      </c>
      <c r="AF72" s="20"/>
      <c r="AG72" s="20"/>
      <c r="AH72" s="20"/>
      <c r="AI72" s="19"/>
      <c r="AJ72" s="19"/>
      <c r="AK72" t="s">
        <v>4</v>
      </c>
      <c r="AL72" s="20"/>
      <c r="AM72" s="20"/>
      <c r="AN72" s="20"/>
      <c r="AO72" s="19"/>
      <c r="AP72" s="19"/>
      <c r="AQ72" t="s">
        <v>4</v>
      </c>
      <c r="AR72" s="20"/>
      <c r="AS72" s="20"/>
      <c r="AT72" s="20"/>
      <c r="AU72" s="19"/>
      <c r="AV72" s="19"/>
      <c r="AW72" t="s">
        <v>4</v>
      </c>
      <c r="AX72" s="20"/>
      <c r="AY72" s="20"/>
      <c r="AZ72" s="20"/>
      <c r="BA72" s="19"/>
      <c r="BB72" s="19"/>
      <c r="BC72" s="12"/>
      <c r="BG72">
        <f t="shared" si="8"/>
        <v>0</v>
      </c>
      <c r="BH72">
        <f t="shared" si="9"/>
        <v>0</v>
      </c>
      <c r="BI72">
        <f t="shared" si="10"/>
        <v>0</v>
      </c>
      <c r="BJ72">
        <f t="shared" si="11"/>
        <v>0</v>
      </c>
      <c r="BK72" t="s">
        <v>145</v>
      </c>
      <c r="BL72">
        <f t="shared" si="12"/>
        <v>0</v>
      </c>
      <c r="BM72" t="s">
        <v>145</v>
      </c>
      <c r="BN72">
        <f t="shared" si="13"/>
        <v>0</v>
      </c>
      <c r="BO72">
        <f t="shared" si="14"/>
        <v>0</v>
      </c>
    </row>
    <row r="73" spans="1:67">
      <c r="A73" t="s">
        <v>73</v>
      </c>
      <c r="C73" s="12"/>
      <c r="D73" s="19"/>
      <c r="E73" t="s">
        <v>4</v>
      </c>
      <c r="F73" s="20"/>
      <c r="G73" s="20"/>
      <c r="H73" s="20"/>
      <c r="I73" s="19"/>
      <c r="J73" s="19"/>
      <c r="K73" t="s">
        <v>4</v>
      </c>
      <c r="L73" s="20"/>
      <c r="M73" s="20"/>
      <c r="N73" s="20"/>
      <c r="O73" s="19"/>
      <c r="P73" s="19"/>
      <c r="Q73" t="s">
        <v>4</v>
      </c>
      <c r="R73" s="20"/>
      <c r="S73" s="20"/>
      <c r="T73" s="20"/>
      <c r="U73" s="19"/>
      <c r="V73" s="19"/>
      <c r="W73" t="s">
        <v>4</v>
      </c>
      <c r="X73" s="12"/>
      <c r="Y73" s="20"/>
      <c r="Z73" s="20"/>
      <c r="AA73" s="20"/>
      <c r="AB73" s="12"/>
      <c r="AC73" s="12"/>
      <c r="AD73" s="19"/>
      <c r="AE73" s="19"/>
      <c r="AF73" t="s">
        <v>4</v>
      </c>
      <c r="AG73" s="20"/>
      <c r="AH73" s="20"/>
      <c r="AI73" s="20"/>
      <c r="AJ73" s="19"/>
      <c r="AK73" s="19"/>
      <c r="AL73" t="s">
        <v>4</v>
      </c>
      <c r="AM73" s="20"/>
      <c r="AN73" s="20"/>
      <c r="AO73" s="20"/>
      <c r="AP73" s="19"/>
      <c r="AQ73" s="19"/>
      <c r="AR73" t="s">
        <v>4</v>
      </c>
      <c r="AS73" s="20"/>
      <c r="AT73" s="20"/>
      <c r="AU73" s="20"/>
      <c r="AV73" s="19"/>
      <c r="AW73" s="19"/>
      <c r="AX73" t="s">
        <v>4</v>
      </c>
      <c r="AY73" s="20"/>
      <c r="AZ73" s="20"/>
      <c r="BA73" s="20"/>
      <c r="BB73" s="19"/>
      <c r="BC73" s="12"/>
      <c r="BG73">
        <f t="shared" si="8"/>
        <v>0</v>
      </c>
      <c r="BH73">
        <f t="shared" si="9"/>
        <v>0</v>
      </c>
      <c r="BI73">
        <f t="shared" si="10"/>
        <v>0</v>
      </c>
      <c r="BJ73">
        <f t="shared" si="11"/>
        <v>0</v>
      </c>
      <c r="BK73" t="s">
        <v>145</v>
      </c>
      <c r="BL73">
        <f t="shared" si="12"/>
        <v>0</v>
      </c>
      <c r="BM73" t="s">
        <v>145</v>
      </c>
      <c r="BN73">
        <f t="shared" si="13"/>
        <v>0</v>
      </c>
      <c r="BO73">
        <f t="shared" si="14"/>
        <v>0</v>
      </c>
    </row>
    <row r="74" spans="1:67">
      <c r="A74" t="s">
        <v>74</v>
      </c>
      <c r="C74" s="12"/>
      <c r="D74" s="20"/>
      <c r="E74" s="19"/>
      <c r="F74" t="s">
        <v>4</v>
      </c>
      <c r="G74" s="20"/>
      <c r="H74" s="20"/>
      <c r="I74" s="20"/>
      <c r="J74" s="19"/>
      <c r="K74" s="19"/>
      <c r="L74" t="s">
        <v>4</v>
      </c>
      <c r="M74" s="20"/>
      <c r="N74" s="20"/>
      <c r="O74" s="20"/>
      <c r="P74" s="19"/>
      <c r="Q74" s="19"/>
      <c r="R74" t="s">
        <v>4</v>
      </c>
      <c r="S74" s="20"/>
      <c r="T74" s="20"/>
      <c r="U74" s="20"/>
      <c r="V74" s="19"/>
      <c r="W74" s="19"/>
      <c r="X74" s="12"/>
      <c r="Y74" t="s">
        <v>4</v>
      </c>
      <c r="Z74" s="20"/>
      <c r="AA74" s="20"/>
      <c r="AB74" s="12"/>
      <c r="AC74" s="12"/>
      <c r="AD74" s="20"/>
      <c r="AE74" s="19"/>
      <c r="AF74" s="19"/>
      <c r="AG74" t="s">
        <v>4</v>
      </c>
      <c r="AH74" s="20"/>
      <c r="AI74" s="20"/>
      <c r="AJ74" s="20"/>
      <c r="AK74" s="19"/>
      <c r="AL74" s="19"/>
      <c r="AM74" t="s">
        <v>4</v>
      </c>
      <c r="AN74" s="20"/>
      <c r="AO74" s="20"/>
      <c r="AP74" s="20"/>
      <c r="AQ74" s="19"/>
      <c r="AR74" s="19"/>
      <c r="AS74" t="s">
        <v>4</v>
      </c>
      <c r="AT74" s="20"/>
      <c r="AU74" s="20"/>
      <c r="AV74" s="20"/>
      <c r="AW74" s="19"/>
      <c r="AX74" s="19"/>
      <c r="AY74" t="s">
        <v>4</v>
      </c>
      <c r="AZ74" s="20"/>
      <c r="BA74" s="20"/>
      <c r="BB74" s="20"/>
      <c r="BC74" s="12"/>
      <c r="BG74">
        <f t="shared" si="8"/>
        <v>0</v>
      </c>
      <c r="BH74">
        <f t="shared" si="9"/>
        <v>0</v>
      </c>
      <c r="BI74">
        <f t="shared" si="10"/>
        <v>0</v>
      </c>
      <c r="BJ74">
        <f t="shared" si="11"/>
        <v>0</v>
      </c>
      <c r="BK74" t="s">
        <v>145</v>
      </c>
      <c r="BL74">
        <f t="shared" si="12"/>
        <v>0</v>
      </c>
      <c r="BM74" t="s">
        <v>145</v>
      </c>
      <c r="BN74">
        <f t="shared" si="13"/>
        <v>0</v>
      </c>
      <c r="BO74">
        <f t="shared" si="14"/>
        <v>0</v>
      </c>
    </row>
    <row r="75" spans="1:67">
      <c r="A75" t="s">
        <v>75</v>
      </c>
      <c r="C75" s="12"/>
      <c r="D75" s="20"/>
      <c r="E75" s="20"/>
      <c r="F75" s="20"/>
      <c r="G75" t="s">
        <v>4</v>
      </c>
      <c r="H75" s="20"/>
      <c r="I75" s="20"/>
      <c r="J75" s="20"/>
      <c r="K75" s="19"/>
      <c r="L75" s="19"/>
      <c r="M75" t="s">
        <v>4</v>
      </c>
      <c r="N75" s="20"/>
      <c r="O75" s="20"/>
      <c r="P75" s="20"/>
      <c r="Q75" s="19"/>
      <c r="R75" s="19"/>
      <c r="S75" t="s">
        <v>4</v>
      </c>
      <c r="T75" s="20"/>
      <c r="U75" s="20"/>
      <c r="V75" s="20"/>
      <c r="W75" s="19"/>
      <c r="X75" s="12"/>
      <c r="Y75" s="19"/>
      <c r="Z75" t="s">
        <v>4</v>
      </c>
      <c r="AA75" s="20"/>
      <c r="AB75" s="12"/>
      <c r="AC75" s="12"/>
      <c r="AD75" s="20"/>
      <c r="AE75" s="20"/>
      <c r="AF75" s="19"/>
      <c r="AG75" s="19"/>
      <c r="AH75" t="s">
        <v>4</v>
      </c>
      <c r="AI75" s="20"/>
      <c r="AJ75" s="20"/>
      <c r="AK75" s="20"/>
      <c r="AL75" s="19"/>
      <c r="AM75" s="19"/>
      <c r="AN75" t="s">
        <v>4</v>
      </c>
      <c r="AO75" s="20"/>
      <c r="AP75" s="20"/>
      <c r="AQ75" s="20"/>
      <c r="AR75" s="19"/>
      <c r="AS75" s="19"/>
      <c r="AT75" t="s">
        <v>4</v>
      </c>
      <c r="AU75" s="20"/>
      <c r="AV75" s="20"/>
      <c r="AW75" s="20"/>
      <c r="AX75" s="19"/>
      <c r="AY75" s="19"/>
      <c r="AZ75" t="s">
        <v>4</v>
      </c>
      <c r="BA75" s="20"/>
      <c r="BB75" s="20"/>
      <c r="BC75" s="12"/>
      <c r="BG75">
        <f t="shared" si="8"/>
        <v>0</v>
      </c>
      <c r="BH75">
        <f t="shared" si="9"/>
        <v>0</v>
      </c>
      <c r="BI75">
        <f t="shared" si="10"/>
        <v>0</v>
      </c>
      <c r="BJ75">
        <f t="shared" si="11"/>
        <v>0</v>
      </c>
      <c r="BK75" t="s">
        <v>145</v>
      </c>
      <c r="BL75">
        <f t="shared" si="12"/>
        <v>0</v>
      </c>
      <c r="BM75" t="s">
        <v>145</v>
      </c>
      <c r="BN75">
        <f t="shared" si="13"/>
        <v>0</v>
      </c>
      <c r="BO75">
        <f t="shared" si="14"/>
        <v>0</v>
      </c>
    </row>
    <row r="76" spans="1:67">
      <c r="A76" t="s">
        <v>76</v>
      </c>
      <c r="C76" s="12"/>
      <c r="D76" s="20"/>
      <c r="E76" s="20"/>
      <c r="F76" s="19"/>
      <c r="G76" s="19"/>
      <c r="H76" t="s">
        <v>4</v>
      </c>
      <c r="I76" s="20"/>
      <c r="J76" s="20"/>
      <c r="K76" s="20"/>
      <c r="L76" s="19"/>
      <c r="M76" s="19"/>
      <c r="N76" t="s">
        <v>4</v>
      </c>
      <c r="O76" s="20"/>
      <c r="P76" s="20"/>
      <c r="Q76" s="20"/>
      <c r="R76" s="19"/>
      <c r="S76" s="19"/>
      <c r="T76" t="s">
        <v>4</v>
      </c>
      <c r="U76" s="20"/>
      <c r="V76" s="20"/>
      <c r="W76" s="20"/>
      <c r="X76" s="12"/>
      <c r="Y76" s="19"/>
      <c r="Z76" s="19"/>
      <c r="AA76" t="s">
        <v>4</v>
      </c>
      <c r="AB76" s="12"/>
      <c r="AC76" s="12"/>
      <c r="AD76" s="20"/>
      <c r="AE76" s="20"/>
      <c r="AF76" s="20"/>
      <c r="AG76" s="19"/>
      <c r="AH76" s="19"/>
      <c r="AI76" t="s">
        <v>4</v>
      </c>
      <c r="AJ76" s="20"/>
      <c r="AK76" s="20"/>
      <c r="AL76" s="20"/>
      <c r="AM76" s="19"/>
      <c r="AN76" s="19"/>
      <c r="AO76" t="s">
        <v>4</v>
      </c>
      <c r="AP76" s="20"/>
      <c r="AQ76" s="20"/>
      <c r="AR76" s="20"/>
      <c r="AS76" s="19"/>
      <c r="AT76" s="19"/>
      <c r="AU76" t="s">
        <v>4</v>
      </c>
      <c r="AV76" s="20"/>
      <c r="AW76" s="20"/>
      <c r="AX76" s="20"/>
      <c r="AY76" s="19"/>
      <c r="AZ76" s="19"/>
      <c r="BA76" t="s">
        <v>4</v>
      </c>
      <c r="BB76" s="20"/>
      <c r="BC76" s="12"/>
      <c r="BG76">
        <f t="shared" si="8"/>
        <v>0</v>
      </c>
      <c r="BH76">
        <f t="shared" si="9"/>
        <v>0</v>
      </c>
      <c r="BI76">
        <f t="shared" si="10"/>
        <v>0</v>
      </c>
      <c r="BJ76">
        <f t="shared" si="11"/>
        <v>0</v>
      </c>
      <c r="BK76" t="s">
        <v>145</v>
      </c>
      <c r="BL76">
        <f t="shared" si="12"/>
        <v>0</v>
      </c>
      <c r="BM76" t="s">
        <v>145</v>
      </c>
      <c r="BN76">
        <f t="shared" si="13"/>
        <v>0</v>
      </c>
      <c r="BO76">
        <f t="shared" si="14"/>
        <v>0</v>
      </c>
    </row>
    <row r="77" spans="1:67">
      <c r="A77" t="s">
        <v>77</v>
      </c>
      <c r="C77" s="12"/>
      <c r="D77" s="20"/>
      <c r="E77" s="20"/>
      <c r="F77" s="20"/>
      <c r="G77" s="19"/>
      <c r="H77" s="19"/>
      <c r="I77" t="s">
        <v>4</v>
      </c>
      <c r="J77" s="20"/>
      <c r="K77" s="20"/>
      <c r="L77" s="20"/>
      <c r="M77" s="19"/>
      <c r="N77" s="19"/>
      <c r="O77" t="s">
        <v>4</v>
      </c>
      <c r="P77" s="20"/>
      <c r="Q77" s="20"/>
      <c r="R77" s="20"/>
      <c r="S77" s="19"/>
      <c r="T77" s="19"/>
      <c r="U77" t="s">
        <v>4</v>
      </c>
      <c r="V77" s="20"/>
      <c r="W77" s="20"/>
      <c r="X77" s="12"/>
      <c r="Y77" s="20"/>
      <c r="Z77" s="19"/>
      <c r="AA77" s="19"/>
      <c r="AB77" s="12"/>
      <c r="AC77" s="12"/>
      <c r="AD77" t="s">
        <v>4</v>
      </c>
      <c r="AE77" s="20"/>
      <c r="AF77" s="20"/>
      <c r="AG77" s="20"/>
      <c r="AH77" s="19"/>
      <c r="AI77" s="19"/>
      <c r="AJ77" t="s">
        <v>4</v>
      </c>
      <c r="AK77" s="20"/>
      <c r="AL77" s="20"/>
      <c r="AM77" s="20"/>
      <c r="AN77" s="19"/>
      <c r="AO77" s="19"/>
      <c r="AP77" t="s">
        <v>4</v>
      </c>
      <c r="AQ77" s="20"/>
      <c r="AR77" s="20"/>
      <c r="AS77" s="20"/>
      <c r="AT77" s="19"/>
      <c r="AU77" s="19"/>
      <c r="AV77" t="s">
        <v>4</v>
      </c>
      <c r="AW77" s="20"/>
      <c r="AX77" s="20"/>
      <c r="AY77" s="20"/>
      <c r="AZ77" s="19"/>
      <c r="BA77" s="19"/>
      <c r="BB77" t="s">
        <v>4</v>
      </c>
      <c r="BC77" s="12"/>
      <c r="BG77">
        <f t="shared" si="8"/>
        <v>0</v>
      </c>
      <c r="BH77">
        <f t="shared" si="9"/>
        <v>0</v>
      </c>
      <c r="BI77">
        <f t="shared" si="10"/>
        <v>0</v>
      </c>
      <c r="BJ77">
        <f t="shared" si="11"/>
        <v>0</v>
      </c>
      <c r="BK77" t="s">
        <v>145</v>
      </c>
      <c r="BL77">
        <f t="shared" si="12"/>
        <v>0</v>
      </c>
      <c r="BM77" t="s">
        <v>145</v>
      </c>
      <c r="BN77">
        <f t="shared" si="13"/>
        <v>0</v>
      </c>
      <c r="BO77">
        <f t="shared" si="14"/>
        <v>0</v>
      </c>
    </row>
    <row r="78" spans="1:67">
      <c r="A78" t="s">
        <v>78</v>
      </c>
      <c r="C78" s="12"/>
      <c r="D78" t="s">
        <v>4</v>
      </c>
      <c r="E78" s="20"/>
      <c r="F78" s="20"/>
      <c r="G78" s="20"/>
      <c r="H78" s="19"/>
      <c r="I78" s="19"/>
      <c r="J78" t="s">
        <v>4</v>
      </c>
      <c r="K78" s="20"/>
      <c r="L78" s="20"/>
      <c r="M78" s="20"/>
      <c r="N78" s="19"/>
      <c r="O78" s="19"/>
      <c r="P78" t="s">
        <v>4</v>
      </c>
      <c r="Q78" s="20"/>
      <c r="R78" s="20"/>
      <c r="S78" s="20"/>
      <c r="T78" s="19"/>
      <c r="U78" s="19"/>
      <c r="V78" t="s">
        <v>4</v>
      </c>
      <c r="W78" s="20"/>
      <c r="X78" s="12"/>
      <c r="Y78" s="20"/>
      <c r="Z78" s="20"/>
      <c r="AA78" s="19"/>
      <c r="AB78" s="12"/>
      <c r="AC78" s="12"/>
      <c r="AD78" s="19"/>
      <c r="AE78" t="s">
        <v>4</v>
      </c>
      <c r="AF78" s="20"/>
      <c r="AG78" s="20"/>
      <c r="AH78" s="20"/>
      <c r="AI78" s="19"/>
      <c r="AJ78" s="19"/>
      <c r="AK78" t="s">
        <v>4</v>
      </c>
      <c r="AL78" s="20"/>
      <c r="AM78" s="20"/>
      <c r="AN78" s="20"/>
      <c r="AO78" s="19"/>
      <c r="AP78" s="19"/>
      <c r="AQ78" t="s">
        <v>4</v>
      </c>
      <c r="AR78" s="20"/>
      <c r="AS78" s="20"/>
      <c r="AT78" s="20"/>
      <c r="AU78" s="19"/>
      <c r="AV78" s="19"/>
      <c r="AW78" t="s">
        <v>4</v>
      </c>
      <c r="AX78" s="20"/>
      <c r="AY78" s="20"/>
      <c r="AZ78" s="20"/>
      <c r="BA78" s="19"/>
      <c r="BB78" s="19"/>
      <c r="BC78" s="12"/>
      <c r="BG78">
        <f t="shared" si="8"/>
        <v>0</v>
      </c>
      <c r="BH78">
        <f t="shared" si="9"/>
        <v>0</v>
      </c>
      <c r="BI78">
        <f t="shared" si="10"/>
        <v>0</v>
      </c>
      <c r="BJ78">
        <f t="shared" si="11"/>
        <v>0</v>
      </c>
      <c r="BK78" t="s">
        <v>145</v>
      </c>
      <c r="BL78">
        <f t="shared" si="12"/>
        <v>0</v>
      </c>
      <c r="BM78" t="s">
        <v>145</v>
      </c>
      <c r="BN78">
        <f t="shared" si="13"/>
        <v>0</v>
      </c>
      <c r="BO78">
        <f t="shared" si="14"/>
        <v>0</v>
      </c>
    </row>
    <row r="79" spans="1:67">
      <c r="A79" t="s">
        <v>79</v>
      </c>
      <c r="C79" s="12"/>
      <c r="D79" s="19"/>
      <c r="E79" t="s">
        <v>4</v>
      </c>
      <c r="F79" s="20"/>
      <c r="G79" s="20"/>
      <c r="H79" s="20"/>
      <c r="I79" s="19"/>
      <c r="J79" s="19"/>
      <c r="K79" t="s">
        <v>4</v>
      </c>
      <c r="L79" s="20"/>
      <c r="M79" s="20"/>
      <c r="N79" s="20"/>
      <c r="O79" s="19"/>
      <c r="P79" s="19"/>
      <c r="Q79" t="s">
        <v>4</v>
      </c>
      <c r="R79" s="20"/>
      <c r="S79" s="20"/>
      <c r="T79" s="20"/>
      <c r="U79" s="19"/>
      <c r="V79" s="19"/>
      <c r="W79" t="s">
        <v>4</v>
      </c>
      <c r="X79" s="12"/>
      <c r="Y79" s="20"/>
      <c r="Z79" s="20"/>
      <c r="AA79" s="20"/>
      <c r="AB79" s="12"/>
      <c r="AC79" s="12"/>
      <c r="AD79" s="19"/>
      <c r="AE79" s="19"/>
      <c r="AF79" t="s">
        <v>4</v>
      </c>
      <c r="AG79" s="20"/>
      <c r="AH79" s="20"/>
      <c r="AI79" s="20"/>
      <c r="AJ79" s="19"/>
      <c r="AK79" s="19"/>
      <c r="AL79" t="s">
        <v>4</v>
      </c>
      <c r="AM79" s="20"/>
      <c r="AN79" s="20"/>
      <c r="AO79" s="20"/>
      <c r="AP79" s="19"/>
      <c r="AQ79" s="19"/>
      <c r="AR79" t="s">
        <v>4</v>
      </c>
      <c r="AS79" s="20"/>
      <c r="AT79" s="20"/>
      <c r="AU79" s="20"/>
      <c r="AV79" s="19"/>
      <c r="AW79" s="19"/>
      <c r="AX79" t="s">
        <v>4</v>
      </c>
      <c r="AY79" s="20"/>
      <c r="AZ79" s="20"/>
      <c r="BA79" s="20"/>
      <c r="BB79" s="19"/>
      <c r="BC79" s="12"/>
      <c r="BG79">
        <f t="shared" si="8"/>
        <v>0</v>
      </c>
      <c r="BH79">
        <f t="shared" si="9"/>
        <v>0</v>
      </c>
      <c r="BI79">
        <f t="shared" si="10"/>
        <v>0</v>
      </c>
      <c r="BJ79">
        <f t="shared" si="11"/>
        <v>0</v>
      </c>
      <c r="BK79" t="s">
        <v>145</v>
      </c>
      <c r="BL79">
        <f t="shared" si="12"/>
        <v>0</v>
      </c>
      <c r="BM79" t="s">
        <v>145</v>
      </c>
      <c r="BN79">
        <f t="shared" si="13"/>
        <v>0</v>
      </c>
      <c r="BO79">
        <f t="shared" si="14"/>
        <v>0</v>
      </c>
    </row>
    <row r="80" spans="1:67">
      <c r="A80" t="s">
        <v>80</v>
      </c>
      <c r="C80" s="12"/>
      <c r="D80" s="20"/>
      <c r="E80" s="19"/>
      <c r="F80" t="s">
        <v>4</v>
      </c>
      <c r="G80" s="20"/>
      <c r="H80" s="20"/>
      <c r="I80" s="20"/>
      <c r="J80" s="19"/>
      <c r="K80" s="19"/>
      <c r="L80" t="s">
        <v>4</v>
      </c>
      <c r="M80" s="20"/>
      <c r="N80" s="20"/>
      <c r="O80" s="20"/>
      <c r="P80" s="19"/>
      <c r="Q80" s="19"/>
      <c r="R80" t="s">
        <v>4</v>
      </c>
      <c r="S80" s="20"/>
      <c r="T80" s="20"/>
      <c r="U80" s="20"/>
      <c r="V80" s="19"/>
      <c r="W80" s="19"/>
      <c r="X80" s="12"/>
      <c r="Y80" t="s">
        <v>4</v>
      </c>
      <c r="Z80" s="20"/>
      <c r="AA80" s="20"/>
      <c r="AB80" s="12"/>
      <c r="AC80" s="12"/>
      <c r="AD80" s="20"/>
      <c r="AE80" s="19"/>
      <c r="AF80" s="19"/>
      <c r="AG80" t="s">
        <v>4</v>
      </c>
      <c r="AH80" s="20"/>
      <c r="AI80" s="20"/>
      <c r="AJ80" s="20"/>
      <c r="AK80" s="19"/>
      <c r="AL80" s="19"/>
      <c r="AM80" t="s">
        <v>4</v>
      </c>
      <c r="AN80" s="20"/>
      <c r="AO80" s="20"/>
      <c r="AP80" s="20"/>
      <c r="AQ80" s="19"/>
      <c r="AR80" s="19"/>
      <c r="AS80" t="s">
        <v>4</v>
      </c>
      <c r="AT80" s="20"/>
      <c r="AU80" s="20"/>
      <c r="AV80" s="20"/>
      <c r="AW80" s="19"/>
      <c r="AX80" s="19"/>
      <c r="AY80" t="s">
        <v>4</v>
      </c>
      <c r="AZ80" s="20"/>
      <c r="BA80" s="20"/>
      <c r="BB80" s="20"/>
      <c r="BC80" s="12"/>
      <c r="BG80">
        <f t="shared" si="8"/>
        <v>0</v>
      </c>
      <c r="BH80">
        <f t="shared" si="9"/>
        <v>0</v>
      </c>
      <c r="BI80">
        <f t="shared" si="10"/>
        <v>0</v>
      </c>
      <c r="BJ80">
        <f t="shared" si="11"/>
        <v>0</v>
      </c>
      <c r="BK80" t="s">
        <v>145</v>
      </c>
      <c r="BL80">
        <f t="shared" si="12"/>
        <v>0</v>
      </c>
      <c r="BM80" t="s">
        <v>145</v>
      </c>
      <c r="BN80">
        <f t="shared" si="13"/>
        <v>0</v>
      </c>
      <c r="BO80">
        <f t="shared" si="14"/>
        <v>0</v>
      </c>
    </row>
    <row r="81" spans="1:67">
      <c r="A81" t="s">
        <v>81</v>
      </c>
      <c r="C81" s="12"/>
      <c r="D81" s="20"/>
      <c r="E81" s="20"/>
      <c r="F81" s="20"/>
      <c r="G81" t="s">
        <v>4</v>
      </c>
      <c r="H81" s="20"/>
      <c r="I81" s="20"/>
      <c r="J81" s="20"/>
      <c r="K81" s="19"/>
      <c r="L81" s="19"/>
      <c r="M81" t="s">
        <v>4</v>
      </c>
      <c r="N81" s="20"/>
      <c r="O81" s="20"/>
      <c r="P81" s="20"/>
      <c r="Q81" s="19"/>
      <c r="R81" s="19"/>
      <c r="S81" t="s">
        <v>4</v>
      </c>
      <c r="T81" s="20"/>
      <c r="U81" s="20"/>
      <c r="V81" s="20"/>
      <c r="W81" s="19"/>
      <c r="X81" s="12"/>
      <c r="Y81" s="19"/>
      <c r="Z81" t="s">
        <v>4</v>
      </c>
      <c r="AA81" s="20"/>
      <c r="AB81" s="12"/>
      <c r="AC81" s="12"/>
      <c r="AD81" s="20"/>
      <c r="AE81" s="20"/>
      <c r="AF81" s="19"/>
      <c r="AG81" s="19"/>
      <c r="AH81" t="s">
        <v>4</v>
      </c>
      <c r="AI81" s="20"/>
      <c r="AJ81" s="20"/>
      <c r="AK81" s="20"/>
      <c r="AL81" s="19"/>
      <c r="AM81" s="19"/>
      <c r="AN81" t="s">
        <v>4</v>
      </c>
      <c r="AO81" s="20"/>
      <c r="AP81" s="20"/>
      <c r="AQ81" s="20"/>
      <c r="AR81" s="19"/>
      <c r="AS81" s="19"/>
      <c r="AT81" t="s">
        <v>4</v>
      </c>
      <c r="AU81" s="20"/>
      <c r="AV81" s="20"/>
      <c r="AW81" s="20"/>
      <c r="AX81" s="19"/>
      <c r="AY81" s="19"/>
      <c r="AZ81" t="s">
        <v>4</v>
      </c>
      <c r="BA81" s="20"/>
      <c r="BB81" s="20"/>
      <c r="BC81" s="12"/>
      <c r="BG81">
        <f t="shared" si="8"/>
        <v>0</v>
      </c>
      <c r="BH81">
        <f t="shared" si="9"/>
        <v>0</v>
      </c>
      <c r="BI81">
        <f t="shared" si="10"/>
        <v>0</v>
      </c>
      <c r="BJ81">
        <f t="shared" si="11"/>
        <v>0</v>
      </c>
      <c r="BK81" t="s">
        <v>145</v>
      </c>
      <c r="BL81">
        <f t="shared" si="12"/>
        <v>0</v>
      </c>
      <c r="BM81" t="s">
        <v>145</v>
      </c>
      <c r="BN81">
        <f t="shared" si="13"/>
        <v>0</v>
      </c>
      <c r="BO81">
        <f t="shared" si="14"/>
        <v>0</v>
      </c>
    </row>
    <row r="82" spans="1:67">
      <c r="A82" t="s">
        <v>82</v>
      </c>
      <c r="C82" s="12"/>
      <c r="D82" s="20"/>
      <c r="E82" s="20"/>
      <c r="F82" s="19"/>
      <c r="G82" s="19"/>
      <c r="H82" t="s">
        <v>4</v>
      </c>
      <c r="I82" s="20"/>
      <c r="J82" s="20"/>
      <c r="K82" s="20"/>
      <c r="L82" s="19"/>
      <c r="M82" s="19"/>
      <c r="N82" t="s">
        <v>4</v>
      </c>
      <c r="O82" s="20"/>
      <c r="P82" s="20"/>
      <c r="Q82" s="20"/>
      <c r="R82" s="19"/>
      <c r="S82" s="19"/>
      <c r="T82" t="s">
        <v>4</v>
      </c>
      <c r="U82" s="20"/>
      <c r="V82" s="20"/>
      <c r="W82" s="20"/>
      <c r="X82" s="12"/>
      <c r="Y82" s="19"/>
      <c r="Z82" s="19"/>
      <c r="AA82" t="s">
        <v>4</v>
      </c>
      <c r="AB82" s="12"/>
      <c r="AC82" s="12"/>
      <c r="AD82" s="20"/>
      <c r="AE82" s="20"/>
      <c r="AF82" s="20"/>
      <c r="AG82" s="19"/>
      <c r="AH82" s="19"/>
      <c r="AI82" t="s">
        <v>4</v>
      </c>
      <c r="AJ82" s="20"/>
      <c r="AK82" s="20"/>
      <c r="AL82" s="20"/>
      <c r="AM82" s="19"/>
      <c r="AN82" s="19"/>
      <c r="AO82" t="s">
        <v>4</v>
      </c>
      <c r="AP82" s="20"/>
      <c r="AQ82" s="20"/>
      <c r="AR82" s="20"/>
      <c r="AS82" s="19"/>
      <c r="AT82" s="19"/>
      <c r="AU82" t="s">
        <v>4</v>
      </c>
      <c r="AV82" s="20"/>
      <c r="AW82" s="20"/>
      <c r="AX82" s="20"/>
      <c r="AY82" s="19"/>
      <c r="AZ82" s="19"/>
      <c r="BA82" t="s">
        <v>4</v>
      </c>
      <c r="BB82" s="20"/>
      <c r="BC82" s="12"/>
      <c r="BG82">
        <f t="shared" si="8"/>
        <v>0</v>
      </c>
      <c r="BH82">
        <f t="shared" si="9"/>
        <v>0</v>
      </c>
      <c r="BI82">
        <f t="shared" si="10"/>
        <v>0</v>
      </c>
      <c r="BJ82">
        <f t="shared" si="11"/>
        <v>0</v>
      </c>
      <c r="BK82" t="s">
        <v>145</v>
      </c>
      <c r="BL82">
        <f t="shared" si="12"/>
        <v>0</v>
      </c>
      <c r="BM82" t="s">
        <v>145</v>
      </c>
      <c r="BN82">
        <f t="shared" si="13"/>
        <v>0</v>
      </c>
      <c r="BO82">
        <f t="shared" si="14"/>
        <v>0</v>
      </c>
    </row>
    <row r="83" spans="1:67">
      <c r="A83" t="s">
        <v>83</v>
      </c>
      <c r="C83" s="12"/>
      <c r="D83" s="20"/>
      <c r="E83" s="20"/>
      <c r="F83" s="20"/>
      <c r="G83" s="19"/>
      <c r="H83" s="19"/>
      <c r="I83" t="s">
        <v>4</v>
      </c>
      <c r="J83" s="20"/>
      <c r="K83" s="20"/>
      <c r="L83" s="20"/>
      <c r="M83" s="19"/>
      <c r="N83" s="19"/>
      <c r="O83" t="s">
        <v>4</v>
      </c>
      <c r="P83" s="20"/>
      <c r="Q83" s="20"/>
      <c r="R83" s="20"/>
      <c r="S83" s="19"/>
      <c r="T83" s="19"/>
      <c r="U83" t="s">
        <v>4</v>
      </c>
      <c r="V83" s="20"/>
      <c r="W83" s="20"/>
      <c r="X83" s="12"/>
      <c r="Y83" s="20"/>
      <c r="Z83" s="19"/>
      <c r="AA83" s="19"/>
      <c r="AB83" s="12"/>
      <c r="AC83" s="12"/>
      <c r="AD83" t="s">
        <v>4</v>
      </c>
      <c r="AE83" s="20"/>
      <c r="AF83" s="20"/>
      <c r="AG83" s="20"/>
      <c r="AH83" s="19"/>
      <c r="AI83" s="19"/>
      <c r="AJ83" t="s">
        <v>4</v>
      </c>
      <c r="AK83" s="20"/>
      <c r="AL83" s="20"/>
      <c r="AM83" s="20"/>
      <c r="AN83" s="19"/>
      <c r="AO83" s="19"/>
      <c r="AP83" t="s">
        <v>4</v>
      </c>
      <c r="AQ83" s="20"/>
      <c r="AR83" s="20"/>
      <c r="AS83" s="20"/>
      <c r="AT83" s="19"/>
      <c r="AU83" s="19"/>
      <c r="AV83" t="s">
        <v>4</v>
      </c>
      <c r="AW83" s="20"/>
      <c r="AX83" s="20"/>
      <c r="AY83" s="20"/>
      <c r="AZ83" s="19"/>
      <c r="BA83" s="19"/>
      <c r="BB83" t="s">
        <v>4</v>
      </c>
      <c r="BC83" s="12"/>
      <c r="BG83">
        <f t="shared" si="8"/>
        <v>0</v>
      </c>
      <c r="BH83">
        <f t="shared" si="9"/>
        <v>0</v>
      </c>
      <c r="BI83">
        <f t="shared" si="10"/>
        <v>0</v>
      </c>
      <c r="BJ83">
        <f t="shared" si="11"/>
        <v>0</v>
      </c>
      <c r="BK83" t="s">
        <v>145</v>
      </c>
      <c r="BL83">
        <f t="shared" si="12"/>
        <v>0</v>
      </c>
      <c r="BM83" t="s">
        <v>145</v>
      </c>
      <c r="BN83">
        <f t="shared" si="13"/>
        <v>0</v>
      </c>
      <c r="BO83">
        <f t="shared" si="14"/>
        <v>0</v>
      </c>
    </row>
    <row r="84" spans="1:67">
      <c r="A84" t="s">
        <v>84</v>
      </c>
      <c r="C84" s="12"/>
      <c r="D84" t="s">
        <v>4</v>
      </c>
      <c r="E84" s="20"/>
      <c r="F84" s="20"/>
      <c r="G84" s="20"/>
      <c r="H84" s="19"/>
      <c r="I84" s="19"/>
      <c r="J84" t="s">
        <v>4</v>
      </c>
      <c r="K84" s="20"/>
      <c r="L84" s="20"/>
      <c r="M84" s="20"/>
      <c r="N84" s="19"/>
      <c r="O84" s="19"/>
      <c r="P84" t="s">
        <v>4</v>
      </c>
      <c r="Q84" s="20"/>
      <c r="R84" s="20"/>
      <c r="S84" s="20"/>
      <c r="T84" s="19"/>
      <c r="U84" s="19"/>
      <c r="V84" t="s">
        <v>4</v>
      </c>
      <c r="W84" s="20"/>
      <c r="X84" s="12"/>
      <c r="Y84" s="20"/>
      <c r="Z84" s="20"/>
      <c r="AA84" s="19"/>
      <c r="AB84" s="12"/>
      <c r="AC84" s="12"/>
      <c r="AD84" s="19"/>
      <c r="AE84" t="s">
        <v>4</v>
      </c>
      <c r="AF84" s="20"/>
      <c r="AG84" s="20"/>
      <c r="AH84" s="20"/>
      <c r="AI84" s="19"/>
      <c r="AJ84" s="19"/>
      <c r="AK84" t="s">
        <v>4</v>
      </c>
      <c r="AL84" s="20"/>
      <c r="AM84" s="20"/>
      <c r="AN84" s="20"/>
      <c r="AO84" s="19"/>
      <c r="AP84" s="19"/>
      <c r="AQ84" t="s">
        <v>4</v>
      </c>
      <c r="AR84" s="20"/>
      <c r="AS84" s="20"/>
      <c r="AT84" s="20"/>
      <c r="AU84" s="19"/>
      <c r="AV84" s="19"/>
      <c r="AW84" t="s">
        <v>4</v>
      </c>
      <c r="AX84" s="20"/>
      <c r="AY84" s="20"/>
      <c r="AZ84" s="20"/>
      <c r="BA84" s="19"/>
      <c r="BB84" s="19"/>
      <c r="BC84" s="12"/>
      <c r="BG84">
        <f t="shared" si="8"/>
        <v>0</v>
      </c>
      <c r="BH84">
        <f t="shared" si="9"/>
        <v>0</v>
      </c>
      <c r="BI84">
        <f t="shared" si="10"/>
        <v>0</v>
      </c>
      <c r="BJ84">
        <f t="shared" si="11"/>
        <v>0</v>
      </c>
      <c r="BK84" t="s">
        <v>145</v>
      </c>
      <c r="BL84">
        <f t="shared" si="12"/>
        <v>0</v>
      </c>
      <c r="BM84" t="s">
        <v>145</v>
      </c>
      <c r="BN84">
        <f t="shared" si="13"/>
        <v>0</v>
      </c>
      <c r="BO84">
        <f t="shared" si="14"/>
        <v>0</v>
      </c>
    </row>
    <row r="85" spans="1:67">
      <c r="A85" t="s">
        <v>85</v>
      </c>
      <c r="C85" s="12"/>
      <c r="D85" s="19"/>
      <c r="E85" t="s">
        <v>4</v>
      </c>
      <c r="F85" s="20"/>
      <c r="G85" s="20"/>
      <c r="H85" s="20"/>
      <c r="I85" s="19"/>
      <c r="J85" s="19"/>
      <c r="K85" t="s">
        <v>4</v>
      </c>
      <c r="L85" s="20"/>
      <c r="M85" s="20"/>
      <c r="N85" s="20"/>
      <c r="O85" s="19"/>
      <c r="P85" s="19"/>
      <c r="Q85" t="s">
        <v>4</v>
      </c>
      <c r="R85" s="20"/>
      <c r="S85" s="20"/>
      <c r="T85" s="20"/>
      <c r="U85" s="19"/>
      <c r="V85" s="19"/>
      <c r="W85" t="s">
        <v>4</v>
      </c>
      <c r="X85" s="12"/>
      <c r="Y85" s="20"/>
      <c r="Z85" s="20"/>
      <c r="AA85" s="20"/>
      <c r="AB85" s="12"/>
      <c r="AC85" s="12"/>
      <c r="AD85" s="19"/>
      <c r="AE85" s="19"/>
      <c r="AF85" t="s">
        <v>4</v>
      </c>
      <c r="AG85" s="20"/>
      <c r="AH85" s="20"/>
      <c r="AI85" s="20"/>
      <c r="AJ85" s="19"/>
      <c r="AK85" s="19"/>
      <c r="AL85" t="s">
        <v>4</v>
      </c>
      <c r="AM85" s="20"/>
      <c r="AN85" s="20"/>
      <c r="AO85" s="20"/>
      <c r="AP85" s="19"/>
      <c r="AQ85" s="19"/>
      <c r="AR85" t="s">
        <v>4</v>
      </c>
      <c r="AS85" s="20"/>
      <c r="AT85" s="20"/>
      <c r="AU85" s="20"/>
      <c r="AV85" s="19"/>
      <c r="AW85" s="19"/>
      <c r="AX85" t="s">
        <v>4</v>
      </c>
      <c r="AY85" s="20"/>
      <c r="AZ85" s="20"/>
      <c r="BA85" s="20"/>
      <c r="BB85" s="19"/>
      <c r="BC85" s="12"/>
      <c r="BG85">
        <f t="shared" si="8"/>
        <v>0</v>
      </c>
      <c r="BH85">
        <f t="shared" si="9"/>
        <v>0</v>
      </c>
      <c r="BI85">
        <f t="shared" si="10"/>
        <v>0</v>
      </c>
      <c r="BJ85">
        <f t="shared" si="11"/>
        <v>0</v>
      </c>
      <c r="BK85" t="s">
        <v>145</v>
      </c>
      <c r="BL85">
        <f t="shared" si="12"/>
        <v>0</v>
      </c>
      <c r="BM85" t="s">
        <v>145</v>
      </c>
      <c r="BN85">
        <f t="shared" si="13"/>
        <v>0</v>
      </c>
      <c r="BO85">
        <f t="shared" si="14"/>
        <v>0</v>
      </c>
    </row>
    <row r="86" spans="1:67">
      <c r="A86" t="s">
        <v>209</v>
      </c>
      <c r="C86" s="12"/>
      <c r="D86" s="20"/>
      <c r="E86" s="19"/>
      <c r="F86" t="s">
        <v>4</v>
      </c>
      <c r="G86" s="20"/>
      <c r="H86" s="20"/>
      <c r="I86" s="20"/>
      <c r="J86" s="19"/>
      <c r="K86" s="19"/>
      <c r="L86" t="s">
        <v>4</v>
      </c>
      <c r="M86" s="20"/>
      <c r="N86" s="20"/>
      <c r="O86" s="20"/>
      <c r="P86" s="19"/>
      <c r="Q86" s="19"/>
      <c r="R86" t="s">
        <v>4</v>
      </c>
      <c r="S86" s="20"/>
      <c r="T86" s="20"/>
      <c r="U86" s="20"/>
      <c r="V86" s="19"/>
      <c r="W86" s="19"/>
      <c r="X86" s="12"/>
      <c r="Y86" t="s">
        <v>4</v>
      </c>
      <c r="Z86" s="20"/>
      <c r="AA86" s="20"/>
      <c r="AB86" s="12"/>
      <c r="AC86" s="12"/>
      <c r="AD86" s="20"/>
      <c r="AE86" s="19"/>
      <c r="AF86" s="19"/>
      <c r="AG86" t="s">
        <v>4</v>
      </c>
      <c r="AH86" s="20"/>
      <c r="AI86" s="20"/>
      <c r="AJ86" s="20"/>
      <c r="AK86" s="19"/>
      <c r="AL86" s="19"/>
      <c r="AM86" t="s">
        <v>4</v>
      </c>
      <c r="AN86" s="20"/>
      <c r="AO86" s="20"/>
      <c r="AP86" s="20"/>
      <c r="AQ86" s="19"/>
      <c r="AR86" s="19"/>
      <c r="AS86" t="s">
        <v>4</v>
      </c>
      <c r="AT86" s="20"/>
      <c r="AU86" s="20"/>
      <c r="AV86" s="20"/>
      <c r="AW86" s="19"/>
      <c r="AX86" s="19"/>
      <c r="AY86" t="s">
        <v>4</v>
      </c>
      <c r="AZ86" s="20"/>
      <c r="BA86" s="20"/>
      <c r="BB86" s="20"/>
      <c r="BC86" s="12"/>
      <c r="BG86">
        <f t="shared" si="8"/>
        <v>0</v>
      </c>
      <c r="BH86">
        <f t="shared" si="9"/>
        <v>0</v>
      </c>
      <c r="BI86">
        <f t="shared" si="10"/>
        <v>0</v>
      </c>
      <c r="BJ86">
        <f t="shared" si="11"/>
        <v>0</v>
      </c>
      <c r="BK86" t="s">
        <v>145</v>
      </c>
      <c r="BL86">
        <f t="shared" si="12"/>
        <v>0</v>
      </c>
      <c r="BM86" t="s">
        <v>145</v>
      </c>
      <c r="BN86">
        <f t="shared" si="13"/>
        <v>0</v>
      </c>
      <c r="BO86">
        <f t="shared" si="14"/>
        <v>0</v>
      </c>
    </row>
    <row r="87" spans="1:67">
      <c r="A87" t="s">
        <v>210</v>
      </c>
      <c r="C87" s="12"/>
      <c r="D87" s="20"/>
      <c r="E87" s="20"/>
      <c r="F87" s="20"/>
      <c r="G87" t="s">
        <v>4</v>
      </c>
      <c r="H87" s="20"/>
      <c r="I87" s="20"/>
      <c r="J87" s="20"/>
      <c r="K87" s="19"/>
      <c r="L87" s="19"/>
      <c r="M87" t="s">
        <v>4</v>
      </c>
      <c r="N87" s="20"/>
      <c r="O87" s="20"/>
      <c r="P87" s="20"/>
      <c r="Q87" s="19"/>
      <c r="R87" s="19"/>
      <c r="S87" t="s">
        <v>4</v>
      </c>
      <c r="T87" s="20"/>
      <c r="U87" s="20"/>
      <c r="V87" s="20"/>
      <c r="W87" s="19"/>
      <c r="X87" s="12"/>
      <c r="Y87" s="19"/>
      <c r="Z87" t="s">
        <v>4</v>
      </c>
      <c r="AA87" s="20"/>
      <c r="AB87" s="12"/>
      <c r="AC87" s="12"/>
      <c r="AD87" s="20"/>
      <c r="AE87" s="20"/>
      <c r="AF87" s="19"/>
      <c r="AG87" s="19"/>
      <c r="AH87" t="s">
        <v>4</v>
      </c>
      <c r="AI87" s="20"/>
      <c r="AJ87" s="20"/>
      <c r="AK87" s="20"/>
      <c r="AL87" s="19"/>
      <c r="AM87" s="19"/>
      <c r="AN87" t="s">
        <v>4</v>
      </c>
      <c r="AO87" s="20"/>
      <c r="AP87" s="20"/>
      <c r="AQ87" s="20"/>
      <c r="AR87" s="19"/>
      <c r="AS87" s="19"/>
      <c r="AT87" t="s">
        <v>4</v>
      </c>
      <c r="AU87" s="20"/>
      <c r="AV87" s="20"/>
      <c r="AW87" s="20"/>
      <c r="AX87" s="19"/>
      <c r="AY87" s="19"/>
      <c r="AZ87" t="s">
        <v>4</v>
      </c>
      <c r="BA87" s="20"/>
      <c r="BB87" s="20"/>
      <c r="BC87" s="12"/>
      <c r="BG87">
        <f t="shared" si="8"/>
        <v>0</v>
      </c>
      <c r="BH87">
        <f t="shared" si="9"/>
        <v>0</v>
      </c>
      <c r="BI87">
        <f t="shared" si="10"/>
        <v>0</v>
      </c>
      <c r="BJ87">
        <f t="shared" si="11"/>
        <v>0</v>
      </c>
      <c r="BK87" t="s">
        <v>145</v>
      </c>
      <c r="BL87">
        <f t="shared" si="12"/>
        <v>0</v>
      </c>
      <c r="BM87" t="s">
        <v>145</v>
      </c>
      <c r="BN87">
        <f t="shared" si="13"/>
        <v>0</v>
      </c>
      <c r="BO87">
        <f t="shared" si="14"/>
        <v>0</v>
      </c>
    </row>
    <row r="88" spans="1:67">
      <c r="A88" t="s">
        <v>211</v>
      </c>
      <c r="C88" s="12"/>
      <c r="D88" s="20"/>
      <c r="E88" s="20"/>
      <c r="F88" s="19"/>
      <c r="G88" s="19"/>
      <c r="H88" t="s">
        <v>4</v>
      </c>
      <c r="I88" s="20"/>
      <c r="J88" s="20"/>
      <c r="K88" s="20"/>
      <c r="L88" s="19"/>
      <c r="M88" s="19"/>
      <c r="N88" t="s">
        <v>4</v>
      </c>
      <c r="O88" s="20"/>
      <c r="P88" s="20"/>
      <c r="Q88" s="20"/>
      <c r="R88" s="19"/>
      <c r="S88" s="19"/>
      <c r="T88" t="s">
        <v>4</v>
      </c>
      <c r="U88" s="20"/>
      <c r="V88" s="20"/>
      <c r="W88" s="20"/>
      <c r="X88" s="12"/>
      <c r="Y88" s="19"/>
      <c r="Z88" s="19"/>
      <c r="AA88" t="s">
        <v>4</v>
      </c>
      <c r="AB88" s="12"/>
      <c r="AC88" s="12"/>
      <c r="AD88" s="20"/>
      <c r="AE88" s="20"/>
      <c r="AF88" s="20"/>
      <c r="AG88" s="19"/>
      <c r="AH88" s="19"/>
      <c r="AI88" t="s">
        <v>4</v>
      </c>
      <c r="AJ88" s="20"/>
      <c r="AK88" s="20"/>
      <c r="AL88" s="20"/>
      <c r="AM88" s="19"/>
      <c r="AN88" s="19"/>
      <c r="AO88" t="s">
        <v>4</v>
      </c>
      <c r="AP88" s="20"/>
      <c r="AQ88" s="20"/>
      <c r="AR88" s="20"/>
      <c r="AS88" s="19"/>
      <c r="AT88" s="19"/>
      <c r="AU88" t="s">
        <v>4</v>
      </c>
      <c r="AV88" s="20"/>
      <c r="AW88" s="20"/>
      <c r="AX88" s="20"/>
      <c r="AY88" s="19"/>
      <c r="AZ88" s="19"/>
      <c r="BA88" t="s">
        <v>4</v>
      </c>
      <c r="BB88" s="20"/>
      <c r="BC88" s="12"/>
      <c r="BG88">
        <f t="shared" si="8"/>
        <v>0</v>
      </c>
      <c r="BH88">
        <f t="shared" si="9"/>
        <v>0</v>
      </c>
      <c r="BI88">
        <f t="shared" si="10"/>
        <v>0</v>
      </c>
      <c r="BJ88">
        <f t="shared" si="11"/>
        <v>0</v>
      </c>
      <c r="BK88" t="s">
        <v>145</v>
      </c>
      <c r="BL88">
        <f t="shared" si="12"/>
        <v>0</v>
      </c>
      <c r="BM88" t="s">
        <v>145</v>
      </c>
      <c r="BN88">
        <f t="shared" si="13"/>
        <v>0</v>
      </c>
      <c r="BO88">
        <f t="shared" si="14"/>
        <v>0</v>
      </c>
    </row>
    <row r="89" spans="1:67">
      <c r="A89" t="s">
        <v>86</v>
      </c>
      <c r="C89" s="12"/>
      <c r="D89" s="20"/>
      <c r="E89" s="20"/>
      <c r="F89" s="20"/>
      <c r="G89" s="19"/>
      <c r="H89" s="19"/>
      <c r="I89" t="s">
        <v>4</v>
      </c>
      <c r="J89" s="20"/>
      <c r="K89" s="20"/>
      <c r="L89" s="20"/>
      <c r="M89" s="19"/>
      <c r="N89" s="19"/>
      <c r="O89" t="s">
        <v>4</v>
      </c>
      <c r="P89" s="20"/>
      <c r="Q89" s="20"/>
      <c r="R89" s="20"/>
      <c r="S89" s="19"/>
      <c r="T89" s="19"/>
      <c r="U89" t="s">
        <v>4</v>
      </c>
      <c r="V89" s="20"/>
      <c r="W89" s="20"/>
      <c r="X89" s="12"/>
      <c r="Y89" s="20"/>
      <c r="Z89" s="19"/>
      <c r="AA89" s="19"/>
      <c r="AB89" s="12"/>
      <c r="AC89" s="12"/>
      <c r="AD89" t="s">
        <v>4</v>
      </c>
      <c r="AE89" s="20"/>
      <c r="AF89" s="20"/>
      <c r="AG89" s="20"/>
      <c r="AH89" s="19"/>
      <c r="AI89" s="19"/>
      <c r="AJ89" t="s">
        <v>4</v>
      </c>
      <c r="AK89" s="20"/>
      <c r="AL89" s="20"/>
      <c r="AM89" s="20"/>
      <c r="AN89" s="19"/>
      <c r="AO89" s="19"/>
      <c r="AP89" t="s">
        <v>4</v>
      </c>
      <c r="AQ89" s="20"/>
      <c r="AR89" s="20"/>
      <c r="AS89" s="20"/>
      <c r="AT89" s="19"/>
      <c r="AU89" s="19"/>
      <c r="AV89" t="s">
        <v>4</v>
      </c>
      <c r="AW89" s="20"/>
      <c r="AX89" s="20"/>
      <c r="AY89" s="20"/>
      <c r="AZ89" s="19"/>
      <c r="BA89" s="19"/>
      <c r="BB89" t="s">
        <v>4</v>
      </c>
      <c r="BC89" s="12"/>
      <c r="BG89">
        <f t="shared" si="8"/>
        <v>0</v>
      </c>
      <c r="BH89">
        <f t="shared" si="9"/>
        <v>0</v>
      </c>
      <c r="BI89">
        <f t="shared" si="10"/>
        <v>0</v>
      </c>
      <c r="BJ89">
        <f t="shared" si="11"/>
        <v>0</v>
      </c>
      <c r="BK89" t="s">
        <v>145</v>
      </c>
      <c r="BL89">
        <f t="shared" si="12"/>
        <v>0</v>
      </c>
      <c r="BM89" t="s">
        <v>145</v>
      </c>
      <c r="BN89">
        <f t="shared" si="13"/>
        <v>0</v>
      </c>
      <c r="BO89">
        <f t="shared" si="14"/>
        <v>0</v>
      </c>
    </row>
    <row r="90" spans="1:67">
      <c r="A90" t="s">
        <v>87</v>
      </c>
      <c r="C90" s="12"/>
      <c r="D90" t="s">
        <v>4</v>
      </c>
      <c r="E90" s="20"/>
      <c r="F90" s="20"/>
      <c r="G90" s="20"/>
      <c r="H90" s="19"/>
      <c r="I90" s="19"/>
      <c r="J90" t="s">
        <v>4</v>
      </c>
      <c r="K90" s="20"/>
      <c r="L90" s="20"/>
      <c r="M90" s="20"/>
      <c r="N90" s="19"/>
      <c r="O90" s="19"/>
      <c r="P90" t="s">
        <v>4</v>
      </c>
      <c r="Q90" s="20"/>
      <c r="R90" s="20"/>
      <c r="S90" s="20"/>
      <c r="T90" s="19"/>
      <c r="U90" s="19"/>
      <c r="V90" t="s">
        <v>4</v>
      </c>
      <c r="W90" s="20"/>
      <c r="X90" s="12"/>
      <c r="Y90" s="20"/>
      <c r="Z90" s="20"/>
      <c r="AA90" s="19"/>
      <c r="AB90" s="12"/>
      <c r="AC90" s="12"/>
      <c r="AD90" s="19"/>
      <c r="AE90" t="s">
        <v>4</v>
      </c>
      <c r="AF90" s="20"/>
      <c r="AG90" s="20"/>
      <c r="AH90" s="20"/>
      <c r="AI90" s="19"/>
      <c r="AJ90" s="19"/>
      <c r="AK90" t="s">
        <v>4</v>
      </c>
      <c r="AL90" s="20"/>
      <c r="AM90" s="20"/>
      <c r="AN90" s="20"/>
      <c r="AO90" s="19"/>
      <c r="AP90" s="19"/>
      <c r="AQ90" t="s">
        <v>4</v>
      </c>
      <c r="AR90" s="20"/>
      <c r="AS90" s="20"/>
      <c r="AT90" s="20"/>
      <c r="AU90" s="19"/>
      <c r="AV90" s="19"/>
      <c r="AW90" t="s">
        <v>4</v>
      </c>
      <c r="AX90" s="20"/>
      <c r="AY90" s="20"/>
      <c r="AZ90" s="20"/>
      <c r="BA90" s="19"/>
      <c r="BB90" s="19"/>
      <c r="BC90" s="12"/>
      <c r="BG90">
        <f t="shared" si="8"/>
        <v>0</v>
      </c>
      <c r="BH90">
        <f t="shared" si="9"/>
        <v>0</v>
      </c>
      <c r="BI90">
        <f t="shared" si="10"/>
        <v>0</v>
      </c>
      <c r="BJ90">
        <f t="shared" si="11"/>
        <v>0</v>
      </c>
      <c r="BK90" t="s">
        <v>145</v>
      </c>
      <c r="BL90">
        <f t="shared" si="12"/>
        <v>0</v>
      </c>
      <c r="BM90" t="s">
        <v>145</v>
      </c>
      <c r="BN90">
        <f t="shared" si="13"/>
        <v>0</v>
      </c>
      <c r="BO90">
        <f t="shared" si="14"/>
        <v>0</v>
      </c>
    </row>
    <row r="91" spans="1:67">
      <c r="A91" t="s">
        <v>88</v>
      </c>
      <c r="C91" s="12"/>
      <c r="D91" s="19"/>
      <c r="E91" t="s">
        <v>4</v>
      </c>
      <c r="F91" s="20"/>
      <c r="G91" s="20"/>
      <c r="H91" s="20"/>
      <c r="I91" s="19"/>
      <c r="J91" s="19"/>
      <c r="K91" t="s">
        <v>4</v>
      </c>
      <c r="L91" s="20"/>
      <c r="M91" s="20"/>
      <c r="N91" s="20"/>
      <c r="O91" s="19"/>
      <c r="P91" s="19"/>
      <c r="Q91" t="s">
        <v>4</v>
      </c>
      <c r="R91" s="20"/>
      <c r="S91" s="20"/>
      <c r="T91" s="20"/>
      <c r="U91" s="19"/>
      <c r="V91" s="19"/>
      <c r="W91" t="s">
        <v>4</v>
      </c>
      <c r="X91" s="12"/>
      <c r="Y91" s="20"/>
      <c r="Z91" s="20"/>
      <c r="AA91" s="20"/>
      <c r="AB91" s="12"/>
      <c r="AC91" s="12"/>
      <c r="AD91" s="19"/>
      <c r="AE91" s="19"/>
      <c r="AF91" t="s">
        <v>4</v>
      </c>
      <c r="AG91" s="20"/>
      <c r="AH91" s="20"/>
      <c r="AI91" s="20"/>
      <c r="AJ91" s="19"/>
      <c r="AK91" s="19"/>
      <c r="AL91" t="s">
        <v>4</v>
      </c>
      <c r="AM91" s="20"/>
      <c r="AN91" s="20"/>
      <c r="AO91" s="20"/>
      <c r="AP91" s="19"/>
      <c r="AQ91" s="19"/>
      <c r="AR91" t="s">
        <v>4</v>
      </c>
      <c r="AS91" s="20"/>
      <c r="AT91" s="20"/>
      <c r="AU91" s="20"/>
      <c r="AV91" s="19"/>
      <c r="AW91" s="19"/>
      <c r="AX91" t="s">
        <v>4</v>
      </c>
      <c r="AY91" s="20"/>
      <c r="AZ91" s="20"/>
      <c r="BA91" s="20"/>
      <c r="BB91" s="19"/>
      <c r="BC91" s="12"/>
      <c r="BG91">
        <f t="shared" si="8"/>
        <v>0</v>
      </c>
      <c r="BH91">
        <f t="shared" si="9"/>
        <v>0</v>
      </c>
      <c r="BI91">
        <f t="shared" si="10"/>
        <v>0</v>
      </c>
      <c r="BJ91">
        <f t="shared" si="11"/>
        <v>0</v>
      </c>
      <c r="BK91" t="s">
        <v>145</v>
      </c>
      <c r="BL91">
        <f t="shared" si="12"/>
        <v>0</v>
      </c>
      <c r="BM91" t="s">
        <v>145</v>
      </c>
      <c r="BN91">
        <f t="shared" si="13"/>
        <v>0</v>
      </c>
      <c r="BO91">
        <f t="shared" si="14"/>
        <v>0</v>
      </c>
    </row>
    <row r="92" spans="1:67">
      <c r="A92" t="s">
        <v>89</v>
      </c>
      <c r="C92" s="12"/>
      <c r="D92" s="20"/>
      <c r="E92" s="19"/>
      <c r="F92" t="s">
        <v>4</v>
      </c>
      <c r="G92" s="20"/>
      <c r="H92" s="20"/>
      <c r="I92" s="20"/>
      <c r="J92" s="19"/>
      <c r="K92" s="19"/>
      <c r="L92" t="s">
        <v>4</v>
      </c>
      <c r="M92" s="20"/>
      <c r="N92" s="20"/>
      <c r="O92" s="20"/>
      <c r="P92" s="19"/>
      <c r="Q92" s="19"/>
      <c r="R92" t="s">
        <v>4</v>
      </c>
      <c r="S92" s="20"/>
      <c r="T92" s="20"/>
      <c r="U92" s="20"/>
      <c r="V92" s="19"/>
      <c r="W92" s="19"/>
      <c r="X92" s="12"/>
      <c r="Y92" t="s">
        <v>4</v>
      </c>
      <c r="Z92" s="20"/>
      <c r="AA92" s="20"/>
      <c r="AB92" s="12"/>
      <c r="AC92" s="12"/>
      <c r="AD92" s="20"/>
      <c r="AE92" s="19"/>
      <c r="AF92" s="19"/>
      <c r="AG92" t="s">
        <v>4</v>
      </c>
      <c r="AH92" s="20"/>
      <c r="AI92" s="20"/>
      <c r="AJ92" s="20"/>
      <c r="AK92" s="19"/>
      <c r="AL92" s="19"/>
      <c r="AM92" t="s">
        <v>4</v>
      </c>
      <c r="AN92" s="20"/>
      <c r="AO92" s="20"/>
      <c r="AP92" s="20"/>
      <c r="AQ92" s="19"/>
      <c r="AR92" s="19"/>
      <c r="AS92" t="s">
        <v>4</v>
      </c>
      <c r="AT92" s="20"/>
      <c r="AU92" s="20"/>
      <c r="AV92" s="20"/>
      <c r="AW92" s="19"/>
      <c r="AX92" s="19"/>
      <c r="AY92" t="s">
        <v>4</v>
      </c>
      <c r="AZ92" s="20"/>
      <c r="BA92" s="20"/>
      <c r="BB92" s="20"/>
      <c r="BC92" s="12"/>
      <c r="BG92">
        <f t="shared" si="8"/>
        <v>0</v>
      </c>
      <c r="BH92">
        <f t="shared" si="9"/>
        <v>0</v>
      </c>
      <c r="BI92">
        <f t="shared" si="10"/>
        <v>0</v>
      </c>
      <c r="BJ92">
        <f t="shared" si="11"/>
        <v>0</v>
      </c>
      <c r="BK92" t="s">
        <v>145</v>
      </c>
      <c r="BL92">
        <f t="shared" si="12"/>
        <v>0</v>
      </c>
      <c r="BM92" t="s">
        <v>145</v>
      </c>
      <c r="BN92">
        <f t="shared" si="13"/>
        <v>0</v>
      </c>
      <c r="BO92">
        <f t="shared" si="14"/>
        <v>0</v>
      </c>
    </row>
    <row r="93" spans="1:67">
      <c r="A93" t="s">
        <v>90</v>
      </c>
      <c r="C93" s="12"/>
      <c r="D93" s="20"/>
      <c r="E93" s="20"/>
      <c r="F93" s="20"/>
      <c r="G93" t="s">
        <v>4</v>
      </c>
      <c r="H93" s="20"/>
      <c r="I93" s="20"/>
      <c r="J93" s="20"/>
      <c r="K93" s="19"/>
      <c r="L93" s="19"/>
      <c r="M93" t="s">
        <v>4</v>
      </c>
      <c r="N93" s="20"/>
      <c r="O93" s="20"/>
      <c r="P93" s="20"/>
      <c r="Q93" s="19"/>
      <c r="R93" s="19"/>
      <c r="S93" t="s">
        <v>4</v>
      </c>
      <c r="T93" s="20"/>
      <c r="U93" s="20"/>
      <c r="V93" s="20"/>
      <c r="W93" s="19"/>
      <c r="X93" s="12"/>
      <c r="Y93" s="19"/>
      <c r="Z93" t="s">
        <v>4</v>
      </c>
      <c r="AA93" s="20"/>
      <c r="AB93" s="12"/>
      <c r="AC93" s="12"/>
      <c r="AD93" s="20"/>
      <c r="AE93" s="20"/>
      <c r="AF93" s="19"/>
      <c r="AG93" s="19"/>
      <c r="AH93" t="s">
        <v>4</v>
      </c>
      <c r="AI93" s="20"/>
      <c r="AJ93" s="20"/>
      <c r="AK93" s="20"/>
      <c r="AL93" s="19"/>
      <c r="AM93" s="19"/>
      <c r="AN93" t="s">
        <v>4</v>
      </c>
      <c r="AO93" s="20"/>
      <c r="AP93" s="20"/>
      <c r="AQ93" s="20"/>
      <c r="AR93" s="19"/>
      <c r="AS93" s="19"/>
      <c r="AT93" t="s">
        <v>4</v>
      </c>
      <c r="AU93" s="20"/>
      <c r="AV93" s="20"/>
      <c r="AW93" s="20"/>
      <c r="AX93" s="19"/>
      <c r="AY93" s="19"/>
      <c r="AZ93" t="s">
        <v>4</v>
      </c>
      <c r="BA93" s="20"/>
      <c r="BB93" s="20"/>
      <c r="BC93" s="12"/>
      <c r="BG93">
        <f t="shared" si="8"/>
        <v>0</v>
      </c>
      <c r="BH93">
        <f t="shared" si="9"/>
        <v>0</v>
      </c>
      <c r="BI93">
        <f t="shared" si="10"/>
        <v>0</v>
      </c>
      <c r="BJ93">
        <f t="shared" si="11"/>
        <v>0</v>
      </c>
      <c r="BK93" t="s">
        <v>145</v>
      </c>
      <c r="BL93">
        <f t="shared" si="12"/>
        <v>0</v>
      </c>
      <c r="BM93" t="s">
        <v>145</v>
      </c>
      <c r="BN93">
        <f t="shared" si="13"/>
        <v>0</v>
      </c>
      <c r="BO93">
        <f t="shared" si="14"/>
        <v>0</v>
      </c>
    </row>
    <row r="94" spans="1:67">
      <c r="A94" t="s">
        <v>212</v>
      </c>
      <c r="C94" s="12"/>
      <c r="D94" s="20"/>
      <c r="E94" s="20"/>
      <c r="F94" s="19"/>
      <c r="G94" s="19"/>
      <c r="H94" t="s">
        <v>4</v>
      </c>
      <c r="I94" s="20"/>
      <c r="J94" s="20"/>
      <c r="K94" s="20"/>
      <c r="L94" s="19"/>
      <c r="M94" s="19"/>
      <c r="N94" t="s">
        <v>4</v>
      </c>
      <c r="O94" s="20"/>
      <c r="P94" s="20"/>
      <c r="Q94" s="20"/>
      <c r="R94" s="19"/>
      <c r="S94" s="19"/>
      <c r="T94" t="s">
        <v>4</v>
      </c>
      <c r="U94" s="20"/>
      <c r="V94" s="20"/>
      <c r="W94" s="20"/>
      <c r="X94" s="12"/>
      <c r="Y94" s="19"/>
      <c r="Z94" s="19"/>
      <c r="AA94" t="s">
        <v>4</v>
      </c>
      <c r="AB94" s="12"/>
      <c r="AC94" s="12"/>
      <c r="AD94" s="20"/>
      <c r="AE94" s="20"/>
      <c r="AF94" s="20"/>
      <c r="AG94" s="19"/>
      <c r="AH94" s="19"/>
      <c r="AI94" t="s">
        <v>4</v>
      </c>
      <c r="AJ94" s="20"/>
      <c r="AK94" s="20"/>
      <c r="AL94" s="20"/>
      <c r="AM94" s="19"/>
      <c r="AN94" s="19"/>
      <c r="AO94" t="s">
        <v>4</v>
      </c>
      <c r="AP94" s="20"/>
      <c r="AQ94" s="20"/>
      <c r="AR94" s="20"/>
      <c r="AS94" s="19"/>
      <c r="AT94" s="19"/>
      <c r="AU94" t="s">
        <v>4</v>
      </c>
      <c r="AV94" s="20"/>
      <c r="AW94" s="20"/>
      <c r="AX94" s="20"/>
      <c r="AY94" s="19"/>
      <c r="AZ94" s="19"/>
      <c r="BA94" t="s">
        <v>4</v>
      </c>
      <c r="BC94" s="12"/>
      <c r="BG94">
        <f t="shared" si="8"/>
        <v>0</v>
      </c>
      <c r="BH94">
        <f t="shared" si="9"/>
        <v>0</v>
      </c>
      <c r="BI94">
        <f t="shared" si="10"/>
        <v>0</v>
      </c>
      <c r="BJ94">
        <f t="shared" si="11"/>
        <v>0</v>
      </c>
      <c r="BK94" t="s">
        <v>145</v>
      </c>
      <c r="BL94">
        <f t="shared" si="12"/>
        <v>0</v>
      </c>
      <c r="BM94" t="s">
        <v>145</v>
      </c>
      <c r="BN94">
        <f t="shared" si="13"/>
        <v>0</v>
      </c>
      <c r="BO94">
        <f t="shared" si="14"/>
        <v>0</v>
      </c>
    </row>
    <row r="95" spans="1:67">
      <c r="A95" t="s">
        <v>91</v>
      </c>
      <c r="C95" s="20"/>
      <c r="H95" t="s">
        <v>186</v>
      </c>
      <c r="I95" t="s">
        <v>186</v>
      </c>
      <c r="J95" t="s">
        <v>186</v>
      </c>
      <c r="K95" t="s">
        <v>186</v>
      </c>
      <c r="L95" t="s">
        <v>186</v>
      </c>
    </row>
    <row r="96" spans="1:67">
      <c r="A96" t="s">
        <v>92</v>
      </c>
      <c r="M96" t="s">
        <v>186</v>
      </c>
      <c r="N96" t="s">
        <v>186</v>
      </c>
      <c r="O96" t="s">
        <v>186</v>
      </c>
      <c r="P96" t="s">
        <v>186</v>
      </c>
    </row>
    <row r="97" spans="1:55 16384:16384">
      <c r="A97" t="s">
        <v>93</v>
      </c>
      <c r="Q97" t="s">
        <v>186</v>
      </c>
      <c r="R97" t="s">
        <v>186</v>
      </c>
      <c r="S97" t="s">
        <v>186</v>
      </c>
      <c r="T97" t="s">
        <v>186</v>
      </c>
    </row>
    <row r="98" spans="1:55 16384:16384">
      <c r="A98" t="s">
        <v>94</v>
      </c>
      <c r="U98" t="s">
        <v>186</v>
      </c>
      <c r="V98" t="s">
        <v>186</v>
      </c>
      <c r="W98" t="s">
        <v>186</v>
      </c>
      <c r="X98" t="s">
        <v>186</v>
      </c>
    </row>
    <row r="99" spans="1:55 16384:16384">
      <c r="A99" t="s">
        <v>95</v>
      </c>
      <c r="X99" t="s">
        <v>186</v>
      </c>
      <c r="Y99" t="s">
        <v>186</v>
      </c>
      <c r="Z99" t="s">
        <v>186</v>
      </c>
      <c r="AA99" t="s">
        <v>186</v>
      </c>
      <c r="AB99" t="s">
        <v>186</v>
      </c>
      <c r="AC99" t="s">
        <v>186</v>
      </c>
    </row>
    <row r="100" spans="1:55 16384:16384">
      <c r="A100" t="s">
        <v>96</v>
      </c>
      <c r="AD100" t="s">
        <v>186</v>
      </c>
      <c r="AE100" t="s">
        <v>186</v>
      </c>
      <c r="AF100" t="s">
        <v>186</v>
      </c>
      <c r="AG100" t="s">
        <v>186</v>
      </c>
    </row>
    <row r="101" spans="1:55 16384:16384">
      <c r="A101" t="s">
        <v>97</v>
      </c>
    </row>
    <row r="102" spans="1:55 16384:16384">
      <c r="A102" t="s">
        <v>98</v>
      </c>
    </row>
    <row r="103" spans="1:55 16384:16384">
      <c r="A103" t="s">
        <v>99</v>
      </c>
    </row>
    <row r="104" spans="1:55 16384:16384">
      <c r="A104" t="s">
        <v>100</v>
      </c>
    </row>
    <row r="105" spans="1:55 16384:16384">
      <c r="A105" t="s">
        <v>101</v>
      </c>
      <c r="AD105" s="7"/>
      <c r="AE105" s="7"/>
      <c r="AF105" s="7"/>
      <c r="AG105" s="7"/>
    </row>
    <row r="106" spans="1:55 16384:16384">
      <c r="A106" t="s">
        <v>102</v>
      </c>
      <c r="AP106" s="7"/>
      <c r="AQ106" s="7"/>
      <c r="AR106" s="7"/>
      <c r="AS106" s="7"/>
      <c r="AT106" s="7"/>
    </row>
    <row r="107" spans="1:55 16384:16384">
      <c r="A107" t="s">
        <v>103</v>
      </c>
      <c r="AU107" s="7"/>
      <c r="AV107" s="7"/>
      <c r="AW107" s="7"/>
      <c r="AX107" s="7"/>
    </row>
    <row r="108" spans="1:55 16384:16384">
      <c r="A108" t="s">
        <v>146</v>
      </c>
      <c r="AY108" s="7"/>
      <c r="AZ108" s="7"/>
      <c r="BA108" s="7"/>
      <c r="BB108" s="7"/>
      <c r="BC108" s="7"/>
    </row>
    <row r="109" spans="1:55 16384:16384">
      <c r="A109" t="s">
        <v>104</v>
      </c>
      <c r="C109" t="s">
        <v>184</v>
      </c>
      <c r="D109" s="9" t="s">
        <v>184</v>
      </c>
      <c r="E109" s="9" t="s">
        <v>184</v>
      </c>
      <c r="F109" s="9" t="s">
        <v>184</v>
      </c>
      <c r="G109" s="9" t="s">
        <v>184</v>
      </c>
    </row>
    <row r="110" spans="1:55 16384:16384">
      <c r="A110" t="s">
        <v>105</v>
      </c>
      <c r="H110" s="9" t="s">
        <v>184</v>
      </c>
      <c r="I110" s="9" t="s">
        <v>184</v>
      </c>
      <c r="J110" s="9" t="s">
        <v>184</v>
      </c>
      <c r="K110" s="9" t="s">
        <v>184</v>
      </c>
    </row>
    <row r="111" spans="1:55 16384:16384">
      <c r="A111" t="s">
        <v>106</v>
      </c>
      <c r="L111" s="9" t="s">
        <v>184</v>
      </c>
      <c r="M111" s="9" t="s">
        <v>184</v>
      </c>
      <c r="N111" s="9" t="s">
        <v>184</v>
      </c>
      <c r="O111" s="9" t="s">
        <v>184</v>
      </c>
      <c r="P111" s="9" t="s">
        <v>184</v>
      </c>
      <c r="XFD111" s="9"/>
    </row>
    <row r="112" spans="1:55 16384:16384">
      <c r="A112" t="s">
        <v>107</v>
      </c>
      <c r="Q112" s="9" t="s">
        <v>184</v>
      </c>
      <c r="R112" s="9" t="s">
        <v>184</v>
      </c>
      <c r="S112" s="9" t="s">
        <v>184</v>
      </c>
      <c r="T112" s="9" t="s">
        <v>184</v>
      </c>
    </row>
    <row r="113" spans="1:46">
      <c r="A113" t="s">
        <v>108</v>
      </c>
      <c r="U113" s="9" t="s">
        <v>184</v>
      </c>
      <c r="V113" s="9" t="s">
        <v>184</v>
      </c>
      <c r="W113" s="9" t="s">
        <v>184</v>
      </c>
      <c r="X113" s="9" t="s">
        <v>184</v>
      </c>
    </row>
    <row r="114" spans="1:46">
      <c r="A114" t="s">
        <v>109</v>
      </c>
      <c r="Y114" s="9" t="s">
        <v>184</v>
      </c>
      <c r="Z114" s="9" t="s">
        <v>184</v>
      </c>
      <c r="AA114" s="9" t="s">
        <v>184</v>
      </c>
      <c r="AB114" s="9" t="s">
        <v>184</v>
      </c>
      <c r="AC114" s="9" t="s">
        <v>184</v>
      </c>
    </row>
    <row r="115" spans="1:46">
      <c r="A115" t="s">
        <v>110</v>
      </c>
      <c r="AD115" s="9" t="s">
        <v>184</v>
      </c>
      <c r="AE115" s="9" t="s">
        <v>184</v>
      </c>
      <c r="AF115" s="9" t="s">
        <v>184</v>
      </c>
      <c r="AG115" s="9" t="s">
        <v>184</v>
      </c>
    </row>
    <row r="116" spans="1:46">
      <c r="A116" t="s">
        <v>111</v>
      </c>
      <c r="AH116" s="9" t="s">
        <v>184</v>
      </c>
      <c r="AI116" s="9" t="s">
        <v>184</v>
      </c>
      <c r="AJ116" s="9" t="s">
        <v>184</v>
      </c>
      <c r="AK116" s="9" t="s">
        <v>184</v>
      </c>
    </row>
    <row r="117" spans="1:46">
      <c r="A117" t="s">
        <v>112</v>
      </c>
      <c r="AL117" s="9" t="s">
        <v>184</v>
      </c>
      <c r="AM117" s="9" t="s">
        <v>184</v>
      </c>
      <c r="AN117" s="9" t="s">
        <v>184</v>
      </c>
      <c r="AO117" s="9" t="s">
        <v>184</v>
      </c>
      <c r="AP117" s="9" t="s">
        <v>184</v>
      </c>
    </row>
    <row r="118" spans="1:46">
      <c r="A118" t="s">
        <v>113</v>
      </c>
      <c r="AQ118" s="9" t="s">
        <v>184</v>
      </c>
      <c r="AR118" s="9" t="s">
        <v>184</v>
      </c>
      <c r="AS118" s="9" t="s">
        <v>184</v>
      </c>
      <c r="AT118" s="9" t="s">
        <v>184</v>
      </c>
    </row>
    <row r="119" spans="1:46">
      <c r="A119" t="s">
        <v>114</v>
      </c>
      <c r="H119" t="s">
        <v>194</v>
      </c>
      <c r="I119" t="s">
        <v>194</v>
      </c>
      <c r="J119" t="s">
        <v>194</v>
      </c>
      <c r="K119" t="s">
        <v>194</v>
      </c>
    </row>
    <row r="120" spans="1:46">
      <c r="A120" t="s">
        <v>115</v>
      </c>
      <c r="L120" t="s">
        <v>194</v>
      </c>
      <c r="M120" t="s">
        <v>194</v>
      </c>
      <c r="N120" t="s">
        <v>194</v>
      </c>
      <c r="O120" t="s">
        <v>194</v>
      </c>
      <c r="P120" t="s">
        <v>194</v>
      </c>
    </row>
    <row r="121" spans="1:46">
      <c r="A121" t="s">
        <v>116</v>
      </c>
      <c r="Q121" t="s">
        <v>194</v>
      </c>
      <c r="R121" t="s">
        <v>194</v>
      </c>
      <c r="S121" t="s">
        <v>194</v>
      </c>
      <c r="T121" t="s">
        <v>194</v>
      </c>
    </row>
    <row r="122" spans="1:46">
      <c r="A122" t="s">
        <v>117</v>
      </c>
      <c r="U122" t="s">
        <v>194</v>
      </c>
      <c r="V122" t="s">
        <v>194</v>
      </c>
      <c r="W122" t="s">
        <v>194</v>
      </c>
      <c r="X122" t="s">
        <v>194</v>
      </c>
    </row>
    <row r="123" spans="1:46">
      <c r="A123" t="s">
        <v>118</v>
      </c>
      <c r="Y123" t="s">
        <v>194</v>
      </c>
      <c r="Z123" t="s">
        <v>194</v>
      </c>
      <c r="AA123" t="s">
        <v>194</v>
      </c>
      <c r="AB123" t="s">
        <v>194</v>
      </c>
      <c r="AC123" t="s">
        <v>194</v>
      </c>
    </row>
    <row r="124" spans="1:46">
      <c r="A124" t="s">
        <v>119</v>
      </c>
      <c r="AD124" t="s">
        <v>194</v>
      </c>
      <c r="AE124" t="s">
        <v>194</v>
      </c>
      <c r="AF124" t="s">
        <v>194</v>
      </c>
      <c r="AG124" t="s">
        <v>194</v>
      </c>
    </row>
    <row r="125" spans="1:46">
      <c r="A125" t="s">
        <v>120</v>
      </c>
      <c r="AH125" t="s">
        <v>194</v>
      </c>
      <c r="AI125" t="s">
        <v>194</v>
      </c>
      <c r="AJ125" t="s">
        <v>194</v>
      </c>
      <c r="AK125" t="s">
        <v>194</v>
      </c>
    </row>
    <row r="126" spans="1:46">
      <c r="A126" t="s">
        <v>121</v>
      </c>
      <c r="AL126" t="s">
        <v>194</v>
      </c>
      <c r="AM126" t="s">
        <v>194</v>
      </c>
      <c r="AN126" t="s">
        <v>194</v>
      </c>
      <c r="AO126" t="s">
        <v>194</v>
      </c>
      <c r="AP126" t="s">
        <v>194</v>
      </c>
    </row>
    <row r="129" spans="1:57">
      <c r="A129" t="s">
        <v>147</v>
      </c>
    </row>
    <row r="130" spans="1:57">
      <c r="B130" t="s">
        <v>148</v>
      </c>
      <c r="C130">
        <f t="shared" ref="C130:BC130" si="15">COUNTIF(C4:C126, "Clinic")</f>
        <v>0</v>
      </c>
      <c r="D130">
        <f t="shared" si="15"/>
        <v>16</v>
      </c>
      <c r="E130">
        <f t="shared" si="15"/>
        <v>16</v>
      </c>
      <c r="F130">
        <f t="shared" si="15"/>
        <v>15</v>
      </c>
      <c r="G130">
        <f t="shared" si="15"/>
        <v>15</v>
      </c>
      <c r="H130">
        <f t="shared" si="15"/>
        <v>15</v>
      </c>
      <c r="I130">
        <f t="shared" si="15"/>
        <v>14</v>
      </c>
      <c r="J130">
        <f t="shared" si="15"/>
        <v>16</v>
      </c>
      <c r="K130">
        <f t="shared" si="15"/>
        <v>16</v>
      </c>
      <c r="L130">
        <f t="shared" si="15"/>
        <v>15</v>
      </c>
      <c r="M130">
        <f t="shared" si="15"/>
        <v>15</v>
      </c>
      <c r="N130">
        <f t="shared" si="15"/>
        <v>15</v>
      </c>
      <c r="O130">
        <f t="shared" si="15"/>
        <v>14</v>
      </c>
      <c r="P130">
        <f t="shared" si="15"/>
        <v>16</v>
      </c>
      <c r="Q130">
        <f t="shared" si="15"/>
        <v>16</v>
      </c>
      <c r="R130">
        <f t="shared" si="15"/>
        <v>15</v>
      </c>
      <c r="S130">
        <f t="shared" si="15"/>
        <v>15</v>
      </c>
      <c r="T130">
        <f t="shared" si="15"/>
        <v>15</v>
      </c>
      <c r="U130">
        <f t="shared" si="15"/>
        <v>14</v>
      </c>
      <c r="V130">
        <f t="shared" si="15"/>
        <v>16</v>
      </c>
      <c r="W130">
        <f t="shared" si="15"/>
        <v>16</v>
      </c>
      <c r="X130">
        <f t="shared" si="15"/>
        <v>0</v>
      </c>
      <c r="Y130">
        <f t="shared" si="15"/>
        <v>15</v>
      </c>
      <c r="Z130">
        <f t="shared" si="15"/>
        <v>15</v>
      </c>
      <c r="AA130">
        <f t="shared" si="15"/>
        <v>15</v>
      </c>
      <c r="AB130">
        <f t="shared" si="15"/>
        <v>0</v>
      </c>
      <c r="AC130">
        <f t="shared" si="15"/>
        <v>0</v>
      </c>
      <c r="AD130">
        <f t="shared" si="15"/>
        <v>14</v>
      </c>
      <c r="AE130">
        <f t="shared" si="15"/>
        <v>16</v>
      </c>
      <c r="AF130">
        <f t="shared" si="15"/>
        <v>16</v>
      </c>
      <c r="AG130">
        <f t="shared" si="15"/>
        <v>15</v>
      </c>
      <c r="AH130">
        <f t="shared" si="15"/>
        <v>15</v>
      </c>
      <c r="AI130">
        <f t="shared" si="15"/>
        <v>15</v>
      </c>
      <c r="AJ130">
        <f t="shared" si="15"/>
        <v>14</v>
      </c>
      <c r="AK130">
        <f t="shared" si="15"/>
        <v>16</v>
      </c>
      <c r="AL130">
        <f t="shared" si="15"/>
        <v>16</v>
      </c>
      <c r="AM130">
        <f t="shared" si="15"/>
        <v>15</v>
      </c>
      <c r="AN130">
        <f t="shared" si="15"/>
        <v>15</v>
      </c>
      <c r="AO130">
        <f t="shared" si="15"/>
        <v>15</v>
      </c>
      <c r="AP130">
        <f t="shared" si="15"/>
        <v>14</v>
      </c>
      <c r="AQ130">
        <f t="shared" si="15"/>
        <v>16</v>
      </c>
      <c r="AR130">
        <f t="shared" si="15"/>
        <v>16</v>
      </c>
      <c r="AS130">
        <f t="shared" si="15"/>
        <v>15</v>
      </c>
      <c r="AT130">
        <f t="shared" si="15"/>
        <v>15</v>
      </c>
      <c r="AU130">
        <f t="shared" si="15"/>
        <v>15</v>
      </c>
      <c r="AV130">
        <f t="shared" si="15"/>
        <v>14</v>
      </c>
      <c r="AW130">
        <f t="shared" si="15"/>
        <v>16</v>
      </c>
      <c r="AX130">
        <f t="shared" si="15"/>
        <v>16</v>
      </c>
      <c r="AY130">
        <f t="shared" si="15"/>
        <v>15</v>
      </c>
      <c r="AZ130">
        <f t="shared" si="15"/>
        <v>15</v>
      </c>
      <c r="BA130">
        <f t="shared" si="15"/>
        <v>15</v>
      </c>
      <c r="BB130">
        <f t="shared" si="15"/>
        <v>14</v>
      </c>
      <c r="BC130">
        <f t="shared" si="15"/>
        <v>0</v>
      </c>
    </row>
    <row r="131" spans="1:57">
      <c r="BE131" t="s">
        <v>149</v>
      </c>
    </row>
    <row r="132" spans="1:57" hidden="1">
      <c r="B132" s="1" t="s">
        <v>150</v>
      </c>
    </row>
    <row r="133" spans="1:57" hidden="1">
      <c r="B133" s="8" t="s">
        <v>151</v>
      </c>
      <c r="C133">
        <f t="shared" ref="C133:BC133" si="16">SUM(C134:C139)</f>
        <v>0</v>
      </c>
      <c r="D133">
        <f t="shared" si="16"/>
        <v>0</v>
      </c>
      <c r="E133">
        <f t="shared" si="16"/>
        <v>0</v>
      </c>
      <c r="F133">
        <f t="shared" si="16"/>
        <v>0</v>
      </c>
      <c r="G133">
        <f t="shared" si="16"/>
        <v>0</v>
      </c>
      <c r="H133">
        <f t="shared" si="16"/>
        <v>0</v>
      </c>
      <c r="I133">
        <f t="shared" si="16"/>
        <v>0</v>
      </c>
      <c r="J133">
        <f t="shared" si="16"/>
        <v>0</v>
      </c>
      <c r="K133">
        <f t="shared" si="16"/>
        <v>0</v>
      </c>
      <c r="L133">
        <f t="shared" si="16"/>
        <v>0</v>
      </c>
      <c r="M133">
        <f t="shared" si="16"/>
        <v>0</v>
      </c>
      <c r="N133">
        <f t="shared" si="16"/>
        <v>0</v>
      </c>
      <c r="O133">
        <f t="shared" si="16"/>
        <v>0</v>
      </c>
      <c r="P133">
        <f t="shared" si="16"/>
        <v>0</v>
      </c>
      <c r="Q133">
        <f t="shared" si="16"/>
        <v>0</v>
      </c>
      <c r="R133">
        <f t="shared" si="16"/>
        <v>0</v>
      </c>
      <c r="S133">
        <f t="shared" si="16"/>
        <v>0</v>
      </c>
      <c r="T133">
        <f t="shared" si="16"/>
        <v>0</v>
      </c>
      <c r="U133">
        <f t="shared" si="16"/>
        <v>0</v>
      </c>
      <c r="V133">
        <f t="shared" si="16"/>
        <v>0</v>
      </c>
      <c r="W133">
        <f t="shared" si="16"/>
        <v>0</v>
      </c>
      <c r="X133">
        <f t="shared" si="16"/>
        <v>0</v>
      </c>
      <c r="Y133">
        <f t="shared" si="16"/>
        <v>0</v>
      </c>
      <c r="Z133">
        <f t="shared" si="16"/>
        <v>0</v>
      </c>
      <c r="AA133">
        <f t="shared" si="16"/>
        <v>0</v>
      </c>
      <c r="AB133">
        <f t="shared" si="16"/>
        <v>0</v>
      </c>
      <c r="AC133">
        <f t="shared" si="16"/>
        <v>0</v>
      </c>
      <c r="AD133">
        <f t="shared" si="16"/>
        <v>0</v>
      </c>
      <c r="AE133">
        <f t="shared" si="16"/>
        <v>0</v>
      </c>
      <c r="AF133">
        <f t="shared" si="16"/>
        <v>0</v>
      </c>
      <c r="AG133">
        <f t="shared" si="16"/>
        <v>0</v>
      </c>
      <c r="AH133">
        <f t="shared" si="16"/>
        <v>0</v>
      </c>
      <c r="AI133">
        <f t="shared" si="16"/>
        <v>0</v>
      </c>
      <c r="AJ133">
        <f t="shared" si="16"/>
        <v>0</v>
      </c>
      <c r="AK133">
        <f t="shared" si="16"/>
        <v>0</v>
      </c>
      <c r="AL133">
        <f t="shared" si="16"/>
        <v>0</v>
      </c>
      <c r="AM133">
        <f t="shared" si="16"/>
        <v>0</v>
      </c>
      <c r="AN133">
        <f t="shared" si="16"/>
        <v>0</v>
      </c>
      <c r="AO133">
        <f t="shared" si="16"/>
        <v>0</v>
      </c>
      <c r="AP133">
        <f t="shared" si="16"/>
        <v>0</v>
      </c>
      <c r="AQ133">
        <f t="shared" si="16"/>
        <v>0</v>
      </c>
      <c r="AR133">
        <f t="shared" si="16"/>
        <v>0</v>
      </c>
      <c r="AS133">
        <f t="shared" si="16"/>
        <v>0</v>
      </c>
      <c r="AT133">
        <f t="shared" si="16"/>
        <v>0</v>
      </c>
      <c r="AU133">
        <f t="shared" si="16"/>
        <v>0</v>
      </c>
      <c r="AV133">
        <f t="shared" si="16"/>
        <v>0</v>
      </c>
      <c r="AW133">
        <f t="shared" si="16"/>
        <v>0</v>
      </c>
      <c r="AX133">
        <f t="shared" si="16"/>
        <v>0</v>
      </c>
      <c r="AY133">
        <f t="shared" si="16"/>
        <v>0</v>
      </c>
      <c r="AZ133">
        <f t="shared" si="16"/>
        <v>0</v>
      </c>
      <c r="BA133">
        <f t="shared" si="16"/>
        <v>0</v>
      </c>
      <c r="BB133">
        <f t="shared" si="16"/>
        <v>0</v>
      </c>
      <c r="BC133">
        <f t="shared" si="16"/>
        <v>0</v>
      </c>
    </row>
    <row r="134" spans="1:57" hidden="1">
      <c r="B134" t="s">
        <v>152</v>
      </c>
      <c r="C134">
        <f t="shared" ref="C134:BC134" si="17">COUNTIF(C4:C59, "rSLUH1")</f>
        <v>0</v>
      </c>
      <c r="D134">
        <f t="shared" si="17"/>
        <v>0</v>
      </c>
      <c r="E134">
        <f t="shared" si="17"/>
        <v>0</v>
      </c>
      <c r="F134">
        <f t="shared" si="17"/>
        <v>0</v>
      </c>
      <c r="G134">
        <f t="shared" si="17"/>
        <v>0</v>
      </c>
      <c r="H134">
        <f t="shared" si="17"/>
        <v>0</v>
      </c>
      <c r="I134">
        <f t="shared" si="17"/>
        <v>0</v>
      </c>
      <c r="J134">
        <f t="shared" si="17"/>
        <v>0</v>
      </c>
      <c r="K134">
        <f t="shared" si="17"/>
        <v>0</v>
      </c>
      <c r="L134">
        <f t="shared" si="17"/>
        <v>0</v>
      </c>
      <c r="M134">
        <f t="shared" si="17"/>
        <v>0</v>
      </c>
      <c r="N134">
        <f t="shared" si="17"/>
        <v>0</v>
      </c>
      <c r="O134">
        <f t="shared" si="17"/>
        <v>0</v>
      </c>
      <c r="P134">
        <f t="shared" si="17"/>
        <v>0</v>
      </c>
      <c r="Q134">
        <f t="shared" si="17"/>
        <v>0</v>
      </c>
      <c r="R134">
        <f t="shared" si="17"/>
        <v>0</v>
      </c>
      <c r="S134">
        <f t="shared" si="17"/>
        <v>0</v>
      </c>
      <c r="T134">
        <f t="shared" si="17"/>
        <v>0</v>
      </c>
      <c r="U134">
        <f t="shared" si="17"/>
        <v>0</v>
      </c>
      <c r="V134">
        <f t="shared" si="17"/>
        <v>0</v>
      </c>
      <c r="W134">
        <f t="shared" si="17"/>
        <v>0</v>
      </c>
      <c r="X134">
        <f t="shared" si="17"/>
        <v>0</v>
      </c>
      <c r="Y134">
        <f t="shared" si="17"/>
        <v>0</v>
      </c>
      <c r="Z134">
        <f t="shared" si="17"/>
        <v>0</v>
      </c>
      <c r="AA134">
        <f t="shared" si="17"/>
        <v>0</v>
      </c>
      <c r="AB134">
        <f t="shared" si="17"/>
        <v>0</v>
      </c>
      <c r="AC134">
        <f t="shared" si="17"/>
        <v>0</v>
      </c>
      <c r="AD134">
        <f t="shared" si="17"/>
        <v>0</v>
      </c>
      <c r="AE134">
        <f t="shared" si="17"/>
        <v>0</v>
      </c>
      <c r="AF134">
        <f t="shared" si="17"/>
        <v>0</v>
      </c>
      <c r="AG134">
        <f t="shared" si="17"/>
        <v>0</v>
      </c>
      <c r="AH134">
        <f t="shared" si="17"/>
        <v>0</v>
      </c>
      <c r="AI134">
        <f t="shared" si="17"/>
        <v>0</v>
      </c>
      <c r="AJ134">
        <f t="shared" si="17"/>
        <v>0</v>
      </c>
      <c r="AK134">
        <f t="shared" si="17"/>
        <v>0</v>
      </c>
      <c r="AL134">
        <f t="shared" si="17"/>
        <v>0</v>
      </c>
      <c r="AM134">
        <f t="shared" si="17"/>
        <v>0</v>
      </c>
      <c r="AN134">
        <f t="shared" si="17"/>
        <v>0</v>
      </c>
      <c r="AO134">
        <f t="shared" si="17"/>
        <v>0</v>
      </c>
      <c r="AP134">
        <f t="shared" si="17"/>
        <v>0</v>
      </c>
      <c r="AQ134">
        <f t="shared" si="17"/>
        <v>0</v>
      </c>
      <c r="AR134">
        <f t="shared" si="17"/>
        <v>0</v>
      </c>
      <c r="AS134">
        <f t="shared" si="17"/>
        <v>0</v>
      </c>
      <c r="AT134">
        <f t="shared" si="17"/>
        <v>0</v>
      </c>
      <c r="AU134">
        <f t="shared" si="17"/>
        <v>0</v>
      </c>
      <c r="AV134">
        <f t="shared" si="17"/>
        <v>0</v>
      </c>
      <c r="AW134">
        <f t="shared" si="17"/>
        <v>0</v>
      </c>
      <c r="AX134">
        <f t="shared" si="17"/>
        <v>0</v>
      </c>
      <c r="AY134">
        <f t="shared" si="17"/>
        <v>0</v>
      </c>
      <c r="AZ134">
        <f t="shared" si="17"/>
        <v>0</v>
      </c>
      <c r="BA134">
        <f t="shared" si="17"/>
        <v>0</v>
      </c>
      <c r="BB134">
        <f t="shared" si="17"/>
        <v>0</v>
      </c>
      <c r="BC134">
        <f t="shared" si="17"/>
        <v>0</v>
      </c>
      <c r="BE134">
        <f>COUNTIF(C134:BC134, "0")</f>
        <v>53</v>
      </c>
    </row>
    <row r="135" spans="1:57" hidden="1">
      <c r="B135" t="s">
        <v>153</v>
      </c>
      <c r="C135">
        <f t="shared" ref="C135:BC135" si="18">COUNTIF(C4:C59, "rSLUH2")</f>
        <v>0</v>
      </c>
      <c r="D135">
        <f t="shared" si="18"/>
        <v>0</v>
      </c>
      <c r="E135">
        <f t="shared" si="18"/>
        <v>0</v>
      </c>
      <c r="F135">
        <f t="shared" si="18"/>
        <v>0</v>
      </c>
      <c r="G135">
        <f t="shared" si="18"/>
        <v>0</v>
      </c>
      <c r="H135">
        <f t="shared" si="18"/>
        <v>0</v>
      </c>
      <c r="I135">
        <f t="shared" si="18"/>
        <v>0</v>
      </c>
      <c r="J135">
        <f t="shared" si="18"/>
        <v>0</v>
      </c>
      <c r="K135">
        <f t="shared" si="18"/>
        <v>0</v>
      </c>
      <c r="L135">
        <f t="shared" si="18"/>
        <v>0</v>
      </c>
      <c r="M135">
        <f t="shared" si="18"/>
        <v>0</v>
      </c>
      <c r="N135">
        <f t="shared" si="18"/>
        <v>0</v>
      </c>
      <c r="O135">
        <f t="shared" si="18"/>
        <v>0</v>
      </c>
      <c r="P135">
        <f t="shared" si="18"/>
        <v>0</v>
      </c>
      <c r="Q135">
        <f t="shared" si="18"/>
        <v>0</v>
      </c>
      <c r="R135">
        <f t="shared" si="18"/>
        <v>0</v>
      </c>
      <c r="S135">
        <f t="shared" si="18"/>
        <v>0</v>
      </c>
      <c r="T135">
        <f t="shared" si="18"/>
        <v>0</v>
      </c>
      <c r="U135">
        <f t="shared" si="18"/>
        <v>0</v>
      </c>
      <c r="V135">
        <f t="shared" si="18"/>
        <v>0</v>
      </c>
      <c r="W135">
        <f t="shared" si="18"/>
        <v>0</v>
      </c>
      <c r="X135">
        <f t="shared" si="18"/>
        <v>0</v>
      </c>
      <c r="Y135">
        <f t="shared" si="18"/>
        <v>0</v>
      </c>
      <c r="Z135">
        <f t="shared" si="18"/>
        <v>0</v>
      </c>
      <c r="AA135">
        <f t="shared" si="18"/>
        <v>0</v>
      </c>
      <c r="AB135">
        <f t="shared" si="18"/>
        <v>0</v>
      </c>
      <c r="AC135">
        <f t="shared" si="18"/>
        <v>0</v>
      </c>
      <c r="AD135">
        <f t="shared" si="18"/>
        <v>0</v>
      </c>
      <c r="AE135">
        <f t="shared" si="18"/>
        <v>0</v>
      </c>
      <c r="AF135">
        <f t="shared" si="18"/>
        <v>0</v>
      </c>
      <c r="AG135">
        <f t="shared" si="18"/>
        <v>0</v>
      </c>
      <c r="AH135">
        <f t="shared" si="18"/>
        <v>0</v>
      </c>
      <c r="AI135">
        <f t="shared" si="18"/>
        <v>0</v>
      </c>
      <c r="AJ135">
        <f t="shared" si="18"/>
        <v>0</v>
      </c>
      <c r="AK135">
        <f t="shared" si="18"/>
        <v>0</v>
      </c>
      <c r="AL135">
        <f t="shared" si="18"/>
        <v>0</v>
      </c>
      <c r="AM135">
        <f t="shared" si="18"/>
        <v>0</v>
      </c>
      <c r="AN135">
        <f t="shared" si="18"/>
        <v>0</v>
      </c>
      <c r="AO135">
        <f t="shared" si="18"/>
        <v>0</v>
      </c>
      <c r="AP135">
        <f t="shared" si="18"/>
        <v>0</v>
      </c>
      <c r="AQ135">
        <f t="shared" si="18"/>
        <v>0</v>
      </c>
      <c r="AR135">
        <f t="shared" si="18"/>
        <v>0</v>
      </c>
      <c r="AS135">
        <f t="shared" si="18"/>
        <v>0</v>
      </c>
      <c r="AT135">
        <f t="shared" si="18"/>
        <v>0</v>
      </c>
      <c r="AU135">
        <f t="shared" si="18"/>
        <v>0</v>
      </c>
      <c r="AV135">
        <f t="shared" si="18"/>
        <v>0</v>
      </c>
      <c r="AW135">
        <f t="shared" si="18"/>
        <v>0</v>
      </c>
      <c r="AX135">
        <f t="shared" si="18"/>
        <v>0</v>
      </c>
      <c r="AY135">
        <f t="shared" si="18"/>
        <v>0</v>
      </c>
      <c r="AZ135">
        <f t="shared" si="18"/>
        <v>0</v>
      </c>
      <c r="BA135">
        <f t="shared" si="18"/>
        <v>0</v>
      </c>
      <c r="BB135">
        <f t="shared" si="18"/>
        <v>0</v>
      </c>
      <c r="BC135">
        <f t="shared" si="18"/>
        <v>0</v>
      </c>
      <c r="BE135">
        <f t="shared" ref="BE135:BE139" si="19">COUNTIF(C135:BC135, "0")</f>
        <v>53</v>
      </c>
    </row>
    <row r="136" spans="1:57" hidden="1">
      <c r="B136" t="s">
        <v>154</v>
      </c>
      <c r="C136">
        <f t="shared" ref="C136:BC136" si="20">COUNTIF(C4:C59, "rSLUH3")</f>
        <v>0</v>
      </c>
      <c r="D136">
        <f t="shared" si="20"/>
        <v>0</v>
      </c>
      <c r="E136">
        <f t="shared" si="20"/>
        <v>0</v>
      </c>
      <c r="F136">
        <f t="shared" si="20"/>
        <v>0</v>
      </c>
      <c r="G136">
        <f t="shared" si="20"/>
        <v>0</v>
      </c>
      <c r="H136">
        <f t="shared" si="20"/>
        <v>0</v>
      </c>
      <c r="I136">
        <f t="shared" si="20"/>
        <v>0</v>
      </c>
      <c r="J136">
        <f t="shared" si="20"/>
        <v>0</v>
      </c>
      <c r="K136">
        <f t="shared" si="20"/>
        <v>0</v>
      </c>
      <c r="L136">
        <f t="shared" si="20"/>
        <v>0</v>
      </c>
      <c r="M136">
        <f t="shared" si="20"/>
        <v>0</v>
      </c>
      <c r="N136">
        <f t="shared" si="20"/>
        <v>0</v>
      </c>
      <c r="O136">
        <f t="shared" si="20"/>
        <v>0</v>
      </c>
      <c r="P136">
        <f t="shared" si="20"/>
        <v>0</v>
      </c>
      <c r="Q136">
        <f t="shared" si="20"/>
        <v>0</v>
      </c>
      <c r="R136">
        <f t="shared" si="20"/>
        <v>0</v>
      </c>
      <c r="S136">
        <f t="shared" si="20"/>
        <v>0</v>
      </c>
      <c r="T136">
        <f t="shared" si="20"/>
        <v>0</v>
      </c>
      <c r="U136">
        <f t="shared" si="20"/>
        <v>0</v>
      </c>
      <c r="V136">
        <f t="shared" si="20"/>
        <v>0</v>
      </c>
      <c r="W136">
        <f t="shared" si="20"/>
        <v>0</v>
      </c>
      <c r="X136">
        <f t="shared" si="20"/>
        <v>0</v>
      </c>
      <c r="Y136">
        <f t="shared" si="20"/>
        <v>0</v>
      </c>
      <c r="Z136">
        <f t="shared" si="20"/>
        <v>0</v>
      </c>
      <c r="AA136">
        <f t="shared" si="20"/>
        <v>0</v>
      </c>
      <c r="AB136">
        <f t="shared" si="20"/>
        <v>0</v>
      </c>
      <c r="AC136">
        <f t="shared" si="20"/>
        <v>0</v>
      </c>
      <c r="AD136">
        <f t="shared" si="20"/>
        <v>0</v>
      </c>
      <c r="AE136">
        <f t="shared" si="20"/>
        <v>0</v>
      </c>
      <c r="AF136">
        <f t="shared" si="20"/>
        <v>0</v>
      </c>
      <c r="AG136">
        <f t="shared" si="20"/>
        <v>0</v>
      </c>
      <c r="AH136">
        <f t="shared" si="20"/>
        <v>0</v>
      </c>
      <c r="AI136">
        <f t="shared" si="20"/>
        <v>0</v>
      </c>
      <c r="AJ136">
        <f t="shared" si="20"/>
        <v>0</v>
      </c>
      <c r="AK136">
        <f t="shared" si="20"/>
        <v>0</v>
      </c>
      <c r="AL136">
        <f t="shared" si="20"/>
        <v>0</v>
      </c>
      <c r="AM136">
        <f t="shared" si="20"/>
        <v>0</v>
      </c>
      <c r="AN136">
        <f t="shared" si="20"/>
        <v>0</v>
      </c>
      <c r="AO136">
        <f t="shared" si="20"/>
        <v>0</v>
      </c>
      <c r="AP136">
        <f t="shared" si="20"/>
        <v>0</v>
      </c>
      <c r="AQ136">
        <f t="shared" si="20"/>
        <v>0</v>
      </c>
      <c r="AR136">
        <f t="shared" si="20"/>
        <v>0</v>
      </c>
      <c r="AS136">
        <f t="shared" si="20"/>
        <v>0</v>
      </c>
      <c r="AT136">
        <f t="shared" si="20"/>
        <v>0</v>
      </c>
      <c r="AU136">
        <f t="shared" si="20"/>
        <v>0</v>
      </c>
      <c r="AV136">
        <f t="shared" si="20"/>
        <v>0</v>
      </c>
      <c r="AW136">
        <f t="shared" si="20"/>
        <v>0</v>
      </c>
      <c r="AX136">
        <f t="shared" si="20"/>
        <v>0</v>
      </c>
      <c r="AY136">
        <f t="shared" si="20"/>
        <v>0</v>
      </c>
      <c r="AZ136">
        <f t="shared" si="20"/>
        <v>0</v>
      </c>
      <c r="BA136">
        <f t="shared" si="20"/>
        <v>0</v>
      </c>
      <c r="BB136">
        <f t="shared" si="20"/>
        <v>0</v>
      </c>
      <c r="BC136">
        <f t="shared" si="20"/>
        <v>0</v>
      </c>
      <c r="BE136">
        <f t="shared" si="19"/>
        <v>53</v>
      </c>
    </row>
    <row r="137" spans="1:57" hidden="1">
      <c r="B137" t="s">
        <v>155</v>
      </c>
      <c r="C137">
        <f t="shared" ref="C137:BC137" si="21">COUNTIF(C4:C59, "rSLUH4")</f>
        <v>0</v>
      </c>
      <c r="D137">
        <f t="shared" si="21"/>
        <v>0</v>
      </c>
      <c r="E137">
        <f t="shared" si="21"/>
        <v>0</v>
      </c>
      <c r="F137">
        <f t="shared" si="21"/>
        <v>0</v>
      </c>
      <c r="G137">
        <f t="shared" si="21"/>
        <v>0</v>
      </c>
      <c r="H137">
        <f t="shared" si="21"/>
        <v>0</v>
      </c>
      <c r="I137">
        <f t="shared" si="21"/>
        <v>0</v>
      </c>
      <c r="J137">
        <f t="shared" si="21"/>
        <v>0</v>
      </c>
      <c r="K137">
        <f t="shared" si="21"/>
        <v>0</v>
      </c>
      <c r="L137">
        <f t="shared" si="21"/>
        <v>0</v>
      </c>
      <c r="M137">
        <f t="shared" si="21"/>
        <v>0</v>
      </c>
      <c r="N137">
        <f t="shared" si="21"/>
        <v>0</v>
      </c>
      <c r="O137">
        <f t="shared" si="21"/>
        <v>0</v>
      </c>
      <c r="P137">
        <f t="shared" si="21"/>
        <v>0</v>
      </c>
      <c r="Q137">
        <f t="shared" si="21"/>
        <v>0</v>
      </c>
      <c r="R137">
        <f t="shared" si="21"/>
        <v>0</v>
      </c>
      <c r="S137">
        <f t="shared" si="21"/>
        <v>0</v>
      </c>
      <c r="T137">
        <f t="shared" si="21"/>
        <v>0</v>
      </c>
      <c r="U137">
        <f t="shared" si="21"/>
        <v>0</v>
      </c>
      <c r="V137">
        <f t="shared" si="21"/>
        <v>0</v>
      </c>
      <c r="W137">
        <f t="shared" si="21"/>
        <v>0</v>
      </c>
      <c r="X137">
        <f t="shared" si="21"/>
        <v>0</v>
      </c>
      <c r="Y137">
        <f t="shared" si="21"/>
        <v>0</v>
      </c>
      <c r="Z137">
        <f t="shared" si="21"/>
        <v>0</v>
      </c>
      <c r="AA137">
        <f t="shared" si="21"/>
        <v>0</v>
      </c>
      <c r="AB137">
        <f t="shared" si="21"/>
        <v>0</v>
      </c>
      <c r="AC137">
        <f t="shared" si="21"/>
        <v>0</v>
      </c>
      <c r="AD137">
        <f t="shared" si="21"/>
        <v>0</v>
      </c>
      <c r="AE137">
        <f t="shared" si="21"/>
        <v>0</v>
      </c>
      <c r="AF137">
        <f t="shared" si="21"/>
        <v>0</v>
      </c>
      <c r="AG137">
        <f t="shared" si="21"/>
        <v>0</v>
      </c>
      <c r="AH137">
        <f t="shared" si="21"/>
        <v>0</v>
      </c>
      <c r="AI137">
        <f t="shared" si="21"/>
        <v>0</v>
      </c>
      <c r="AJ137">
        <f t="shared" si="21"/>
        <v>0</v>
      </c>
      <c r="AK137">
        <f t="shared" si="21"/>
        <v>0</v>
      </c>
      <c r="AL137">
        <f t="shared" si="21"/>
        <v>0</v>
      </c>
      <c r="AM137">
        <f t="shared" si="21"/>
        <v>0</v>
      </c>
      <c r="AN137">
        <f t="shared" si="21"/>
        <v>0</v>
      </c>
      <c r="AO137">
        <f t="shared" si="21"/>
        <v>0</v>
      </c>
      <c r="AP137">
        <f t="shared" si="21"/>
        <v>0</v>
      </c>
      <c r="AQ137">
        <f t="shared" si="21"/>
        <v>0</v>
      </c>
      <c r="AR137">
        <f t="shared" si="21"/>
        <v>0</v>
      </c>
      <c r="AS137">
        <f t="shared" si="21"/>
        <v>0</v>
      </c>
      <c r="AT137">
        <f t="shared" si="21"/>
        <v>0</v>
      </c>
      <c r="AU137">
        <f t="shared" si="21"/>
        <v>0</v>
      </c>
      <c r="AV137">
        <f t="shared" si="21"/>
        <v>0</v>
      </c>
      <c r="AW137">
        <f t="shared" si="21"/>
        <v>0</v>
      </c>
      <c r="AX137">
        <f t="shared" si="21"/>
        <v>0</v>
      </c>
      <c r="AY137">
        <f t="shared" si="21"/>
        <v>0</v>
      </c>
      <c r="AZ137">
        <f t="shared" si="21"/>
        <v>0</v>
      </c>
      <c r="BA137">
        <f t="shared" si="21"/>
        <v>0</v>
      </c>
      <c r="BB137">
        <f t="shared" si="21"/>
        <v>0</v>
      </c>
      <c r="BC137">
        <f t="shared" si="21"/>
        <v>0</v>
      </c>
      <c r="BE137">
        <f t="shared" si="19"/>
        <v>53</v>
      </c>
    </row>
    <row r="138" spans="1:57" hidden="1">
      <c r="B138" s="13" t="s">
        <v>156</v>
      </c>
      <c r="C138">
        <f t="shared" ref="C138:BC138" si="22">COUNTIF(C4:C59, "rSLUH5")</f>
        <v>0</v>
      </c>
      <c r="D138">
        <f t="shared" si="22"/>
        <v>0</v>
      </c>
      <c r="E138">
        <f t="shared" si="22"/>
        <v>0</v>
      </c>
      <c r="F138">
        <f t="shared" si="22"/>
        <v>0</v>
      </c>
      <c r="G138">
        <f t="shared" si="22"/>
        <v>0</v>
      </c>
      <c r="H138">
        <f t="shared" si="22"/>
        <v>0</v>
      </c>
      <c r="I138">
        <f t="shared" si="22"/>
        <v>0</v>
      </c>
      <c r="J138">
        <f t="shared" si="22"/>
        <v>0</v>
      </c>
      <c r="K138">
        <f t="shared" si="22"/>
        <v>0</v>
      </c>
      <c r="L138">
        <f t="shared" si="22"/>
        <v>0</v>
      </c>
      <c r="M138">
        <f t="shared" si="22"/>
        <v>0</v>
      </c>
      <c r="N138">
        <f t="shared" si="22"/>
        <v>0</v>
      </c>
      <c r="O138">
        <f t="shared" si="22"/>
        <v>0</v>
      </c>
      <c r="P138">
        <f t="shared" si="22"/>
        <v>0</v>
      </c>
      <c r="Q138">
        <f t="shared" si="22"/>
        <v>0</v>
      </c>
      <c r="R138">
        <f t="shared" si="22"/>
        <v>0</v>
      </c>
      <c r="S138">
        <f t="shared" si="22"/>
        <v>0</v>
      </c>
      <c r="T138">
        <f t="shared" si="22"/>
        <v>0</v>
      </c>
      <c r="U138">
        <f t="shared" si="22"/>
        <v>0</v>
      </c>
      <c r="V138">
        <f t="shared" si="22"/>
        <v>0</v>
      </c>
      <c r="W138">
        <f t="shared" si="22"/>
        <v>0</v>
      </c>
      <c r="X138">
        <f t="shared" si="22"/>
        <v>0</v>
      </c>
      <c r="Y138">
        <f t="shared" si="22"/>
        <v>0</v>
      </c>
      <c r="Z138">
        <f t="shared" si="22"/>
        <v>0</v>
      </c>
      <c r="AA138">
        <f t="shared" si="22"/>
        <v>0</v>
      </c>
      <c r="AB138">
        <f t="shared" si="22"/>
        <v>0</v>
      </c>
      <c r="AC138">
        <f t="shared" si="22"/>
        <v>0</v>
      </c>
      <c r="AD138">
        <f t="shared" si="22"/>
        <v>0</v>
      </c>
      <c r="AE138">
        <f t="shared" si="22"/>
        <v>0</v>
      </c>
      <c r="AF138">
        <f t="shared" si="22"/>
        <v>0</v>
      </c>
      <c r="AG138">
        <f t="shared" si="22"/>
        <v>0</v>
      </c>
      <c r="AH138">
        <f t="shared" si="22"/>
        <v>0</v>
      </c>
      <c r="AI138">
        <f t="shared" si="22"/>
        <v>0</v>
      </c>
      <c r="AJ138">
        <f t="shared" si="22"/>
        <v>0</v>
      </c>
      <c r="AK138">
        <f t="shared" si="22"/>
        <v>0</v>
      </c>
      <c r="AL138">
        <f t="shared" si="22"/>
        <v>0</v>
      </c>
      <c r="AM138">
        <f t="shared" si="22"/>
        <v>0</v>
      </c>
      <c r="AN138">
        <f t="shared" si="22"/>
        <v>0</v>
      </c>
      <c r="AO138">
        <f t="shared" si="22"/>
        <v>0</v>
      </c>
      <c r="AP138">
        <f t="shared" si="22"/>
        <v>0</v>
      </c>
      <c r="AQ138">
        <f t="shared" si="22"/>
        <v>0</v>
      </c>
      <c r="AR138">
        <f t="shared" si="22"/>
        <v>0</v>
      </c>
      <c r="AS138">
        <f t="shared" si="22"/>
        <v>0</v>
      </c>
      <c r="AT138">
        <f t="shared" si="22"/>
        <v>0</v>
      </c>
      <c r="AU138">
        <f t="shared" si="22"/>
        <v>0</v>
      </c>
      <c r="AV138">
        <f t="shared" si="22"/>
        <v>0</v>
      </c>
      <c r="AW138">
        <f t="shared" si="22"/>
        <v>0</v>
      </c>
      <c r="AX138">
        <f t="shared" si="22"/>
        <v>0</v>
      </c>
      <c r="AY138">
        <f t="shared" si="22"/>
        <v>0</v>
      </c>
      <c r="AZ138">
        <f t="shared" si="22"/>
        <v>0</v>
      </c>
      <c r="BA138">
        <f t="shared" si="22"/>
        <v>0</v>
      </c>
      <c r="BB138">
        <f t="shared" si="22"/>
        <v>0</v>
      </c>
      <c r="BC138">
        <f t="shared" si="22"/>
        <v>0</v>
      </c>
      <c r="BE138">
        <f t="shared" si="19"/>
        <v>53</v>
      </c>
    </row>
    <row r="139" spans="1:57" hidden="1">
      <c r="B139" s="13" t="s">
        <v>157</v>
      </c>
      <c r="C139">
        <f t="shared" ref="C139:BC139" si="23">COUNTIF(C4:C59, "rSLUH6")</f>
        <v>0</v>
      </c>
      <c r="D139">
        <f t="shared" si="23"/>
        <v>0</v>
      </c>
      <c r="E139">
        <f t="shared" si="23"/>
        <v>0</v>
      </c>
      <c r="F139">
        <f t="shared" si="23"/>
        <v>0</v>
      </c>
      <c r="G139">
        <f t="shared" si="23"/>
        <v>0</v>
      </c>
      <c r="H139">
        <f t="shared" si="23"/>
        <v>0</v>
      </c>
      <c r="I139">
        <f t="shared" si="23"/>
        <v>0</v>
      </c>
      <c r="J139">
        <f t="shared" si="23"/>
        <v>0</v>
      </c>
      <c r="K139">
        <f t="shared" si="23"/>
        <v>0</v>
      </c>
      <c r="L139">
        <f t="shared" si="23"/>
        <v>0</v>
      </c>
      <c r="M139">
        <f t="shared" si="23"/>
        <v>0</v>
      </c>
      <c r="N139">
        <f t="shared" si="23"/>
        <v>0</v>
      </c>
      <c r="O139">
        <f t="shared" si="23"/>
        <v>0</v>
      </c>
      <c r="P139">
        <f t="shared" si="23"/>
        <v>0</v>
      </c>
      <c r="Q139">
        <f t="shared" si="23"/>
        <v>0</v>
      </c>
      <c r="R139">
        <f t="shared" si="23"/>
        <v>0</v>
      </c>
      <c r="S139">
        <f t="shared" si="23"/>
        <v>0</v>
      </c>
      <c r="T139">
        <f t="shared" si="23"/>
        <v>0</v>
      </c>
      <c r="U139">
        <f t="shared" si="23"/>
        <v>0</v>
      </c>
      <c r="V139">
        <f t="shared" si="23"/>
        <v>0</v>
      </c>
      <c r="W139">
        <f t="shared" si="23"/>
        <v>0</v>
      </c>
      <c r="X139">
        <f t="shared" si="23"/>
        <v>0</v>
      </c>
      <c r="Y139">
        <f t="shared" si="23"/>
        <v>0</v>
      </c>
      <c r="Z139">
        <f t="shared" si="23"/>
        <v>0</v>
      </c>
      <c r="AA139">
        <f t="shared" si="23"/>
        <v>0</v>
      </c>
      <c r="AB139">
        <f t="shared" si="23"/>
        <v>0</v>
      </c>
      <c r="AC139">
        <f t="shared" si="23"/>
        <v>0</v>
      </c>
      <c r="AD139">
        <f t="shared" si="23"/>
        <v>0</v>
      </c>
      <c r="AE139">
        <f t="shared" si="23"/>
        <v>0</v>
      </c>
      <c r="AF139">
        <f t="shared" si="23"/>
        <v>0</v>
      </c>
      <c r="AG139">
        <f t="shared" si="23"/>
        <v>0</v>
      </c>
      <c r="AH139">
        <f t="shared" si="23"/>
        <v>0</v>
      </c>
      <c r="AI139">
        <f t="shared" si="23"/>
        <v>0</v>
      </c>
      <c r="AJ139">
        <f t="shared" si="23"/>
        <v>0</v>
      </c>
      <c r="AK139">
        <f t="shared" si="23"/>
        <v>0</v>
      </c>
      <c r="AL139">
        <f t="shared" si="23"/>
        <v>0</v>
      </c>
      <c r="AM139">
        <f t="shared" si="23"/>
        <v>0</v>
      </c>
      <c r="AN139">
        <f t="shared" si="23"/>
        <v>0</v>
      </c>
      <c r="AO139">
        <f t="shared" si="23"/>
        <v>0</v>
      </c>
      <c r="AP139">
        <f t="shared" si="23"/>
        <v>0</v>
      </c>
      <c r="AQ139">
        <f t="shared" si="23"/>
        <v>0</v>
      </c>
      <c r="AR139">
        <f t="shared" si="23"/>
        <v>0</v>
      </c>
      <c r="AS139">
        <f t="shared" si="23"/>
        <v>0</v>
      </c>
      <c r="AT139">
        <f t="shared" si="23"/>
        <v>0</v>
      </c>
      <c r="AU139">
        <f t="shared" si="23"/>
        <v>0</v>
      </c>
      <c r="AV139">
        <f t="shared" si="23"/>
        <v>0</v>
      </c>
      <c r="AW139">
        <f t="shared" si="23"/>
        <v>0</v>
      </c>
      <c r="AX139">
        <f t="shared" si="23"/>
        <v>0</v>
      </c>
      <c r="AY139">
        <f t="shared" si="23"/>
        <v>0</v>
      </c>
      <c r="AZ139">
        <f t="shared" si="23"/>
        <v>0</v>
      </c>
      <c r="BA139">
        <f t="shared" si="23"/>
        <v>0</v>
      </c>
      <c r="BB139">
        <f t="shared" si="23"/>
        <v>0</v>
      </c>
      <c r="BC139">
        <f t="shared" si="23"/>
        <v>0</v>
      </c>
      <c r="BE139">
        <f t="shared" si="19"/>
        <v>53</v>
      </c>
    </row>
    <row r="140" spans="1:57" hidden="1"/>
    <row r="141" spans="1:57" hidden="1">
      <c r="B141" s="8" t="s">
        <v>158</v>
      </c>
      <c r="C141">
        <f t="shared" ref="C141:BC141" si="24">SUM(C142:C146)</f>
        <v>0</v>
      </c>
      <c r="D141">
        <f t="shared" si="24"/>
        <v>0</v>
      </c>
      <c r="E141">
        <f t="shared" si="24"/>
        <v>0</v>
      </c>
      <c r="F141">
        <f t="shared" si="24"/>
        <v>0</v>
      </c>
      <c r="G141">
        <f t="shared" si="24"/>
        <v>0</v>
      </c>
      <c r="H141">
        <f t="shared" si="24"/>
        <v>0</v>
      </c>
      <c r="I141">
        <f t="shared" si="24"/>
        <v>0</v>
      </c>
      <c r="J141">
        <f t="shared" si="24"/>
        <v>0</v>
      </c>
      <c r="K141">
        <f t="shared" si="24"/>
        <v>0</v>
      </c>
      <c r="L141">
        <f t="shared" si="24"/>
        <v>0</v>
      </c>
      <c r="M141">
        <f t="shared" si="24"/>
        <v>0</v>
      </c>
      <c r="N141">
        <f t="shared" si="24"/>
        <v>0</v>
      </c>
      <c r="O141">
        <f t="shared" si="24"/>
        <v>0</v>
      </c>
      <c r="P141">
        <f t="shared" si="24"/>
        <v>0</v>
      </c>
      <c r="Q141">
        <f t="shared" si="24"/>
        <v>0</v>
      </c>
      <c r="R141">
        <f t="shared" si="24"/>
        <v>0</v>
      </c>
      <c r="S141">
        <f t="shared" si="24"/>
        <v>0</v>
      </c>
      <c r="T141">
        <f t="shared" si="24"/>
        <v>0</v>
      </c>
      <c r="U141">
        <f t="shared" si="24"/>
        <v>0</v>
      </c>
      <c r="V141">
        <f t="shared" si="24"/>
        <v>0</v>
      </c>
      <c r="W141">
        <f t="shared" si="24"/>
        <v>0</v>
      </c>
      <c r="X141">
        <f t="shared" si="24"/>
        <v>0</v>
      </c>
      <c r="Y141">
        <f t="shared" si="24"/>
        <v>0</v>
      </c>
      <c r="Z141">
        <f t="shared" si="24"/>
        <v>0</v>
      </c>
      <c r="AA141">
        <f t="shared" si="24"/>
        <v>0</v>
      </c>
      <c r="AB141">
        <f t="shared" si="24"/>
        <v>0</v>
      </c>
      <c r="AC141">
        <f t="shared" si="24"/>
        <v>0</v>
      </c>
      <c r="AD141">
        <f t="shared" si="24"/>
        <v>0</v>
      </c>
      <c r="AE141">
        <f t="shared" si="24"/>
        <v>0</v>
      </c>
      <c r="AF141">
        <f t="shared" si="24"/>
        <v>0</v>
      </c>
      <c r="AG141">
        <f t="shared" si="24"/>
        <v>0</v>
      </c>
      <c r="AH141">
        <f t="shared" si="24"/>
        <v>0</v>
      </c>
      <c r="AI141">
        <f t="shared" si="24"/>
        <v>0</v>
      </c>
      <c r="AJ141">
        <f t="shared" si="24"/>
        <v>0</v>
      </c>
      <c r="AK141">
        <f t="shared" si="24"/>
        <v>0</v>
      </c>
      <c r="AL141">
        <f t="shared" si="24"/>
        <v>0</v>
      </c>
      <c r="AM141">
        <f t="shared" si="24"/>
        <v>0</v>
      </c>
      <c r="AN141">
        <f t="shared" si="24"/>
        <v>0</v>
      </c>
      <c r="AO141">
        <f t="shared" si="24"/>
        <v>0</v>
      </c>
      <c r="AP141">
        <f t="shared" si="24"/>
        <v>0</v>
      </c>
      <c r="AQ141">
        <f t="shared" si="24"/>
        <v>0</v>
      </c>
      <c r="AR141">
        <f t="shared" si="24"/>
        <v>0</v>
      </c>
      <c r="AS141">
        <f t="shared" si="24"/>
        <v>0</v>
      </c>
      <c r="AT141">
        <f t="shared" si="24"/>
        <v>0</v>
      </c>
      <c r="AU141">
        <f t="shared" si="24"/>
        <v>0</v>
      </c>
      <c r="AV141">
        <f t="shared" si="24"/>
        <v>0</v>
      </c>
      <c r="AW141">
        <f t="shared" si="24"/>
        <v>0</v>
      </c>
      <c r="AX141">
        <f t="shared" si="24"/>
        <v>0</v>
      </c>
      <c r="AY141">
        <f t="shared" si="24"/>
        <v>0</v>
      </c>
      <c r="AZ141">
        <f t="shared" si="24"/>
        <v>0</v>
      </c>
      <c r="BA141">
        <f t="shared" si="24"/>
        <v>0</v>
      </c>
      <c r="BB141">
        <f t="shared" si="24"/>
        <v>0</v>
      </c>
      <c r="BC141">
        <f t="shared" si="24"/>
        <v>0</v>
      </c>
    </row>
    <row r="142" spans="1:57" hidden="1">
      <c r="B142" t="s">
        <v>159</v>
      </c>
      <c r="C142">
        <f t="shared" ref="C142:BC142" si="25">COUNTIF(C4:C59, "rVA1")</f>
        <v>0</v>
      </c>
      <c r="D142">
        <f t="shared" si="25"/>
        <v>0</v>
      </c>
      <c r="E142">
        <f t="shared" si="25"/>
        <v>0</v>
      </c>
      <c r="F142">
        <f t="shared" si="25"/>
        <v>0</v>
      </c>
      <c r="G142">
        <f t="shared" si="25"/>
        <v>0</v>
      </c>
      <c r="H142">
        <f t="shared" si="25"/>
        <v>0</v>
      </c>
      <c r="I142">
        <f t="shared" si="25"/>
        <v>0</v>
      </c>
      <c r="J142">
        <f t="shared" si="25"/>
        <v>0</v>
      </c>
      <c r="K142">
        <f t="shared" si="25"/>
        <v>0</v>
      </c>
      <c r="L142">
        <f t="shared" si="25"/>
        <v>0</v>
      </c>
      <c r="M142">
        <f t="shared" si="25"/>
        <v>0</v>
      </c>
      <c r="N142">
        <f t="shared" si="25"/>
        <v>0</v>
      </c>
      <c r="O142">
        <f t="shared" si="25"/>
        <v>0</v>
      </c>
      <c r="P142">
        <f t="shared" si="25"/>
        <v>0</v>
      </c>
      <c r="Q142">
        <f t="shared" si="25"/>
        <v>0</v>
      </c>
      <c r="R142">
        <f t="shared" si="25"/>
        <v>0</v>
      </c>
      <c r="S142">
        <f t="shared" si="25"/>
        <v>0</v>
      </c>
      <c r="T142">
        <f t="shared" si="25"/>
        <v>0</v>
      </c>
      <c r="U142">
        <f t="shared" si="25"/>
        <v>0</v>
      </c>
      <c r="V142">
        <f t="shared" si="25"/>
        <v>0</v>
      </c>
      <c r="W142">
        <f t="shared" si="25"/>
        <v>0</v>
      </c>
      <c r="X142">
        <f t="shared" si="25"/>
        <v>0</v>
      </c>
      <c r="Y142">
        <f t="shared" si="25"/>
        <v>0</v>
      </c>
      <c r="Z142">
        <f t="shared" si="25"/>
        <v>0</v>
      </c>
      <c r="AA142">
        <f t="shared" si="25"/>
        <v>0</v>
      </c>
      <c r="AB142">
        <f t="shared" si="25"/>
        <v>0</v>
      </c>
      <c r="AC142">
        <f t="shared" si="25"/>
        <v>0</v>
      </c>
      <c r="AD142">
        <f t="shared" si="25"/>
        <v>0</v>
      </c>
      <c r="AE142">
        <f t="shared" si="25"/>
        <v>0</v>
      </c>
      <c r="AF142">
        <f t="shared" si="25"/>
        <v>0</v>
      </c>
      <c r="AG142">
        <f t="shared" si="25"/>
        <v>0</v>
      </c>
      <c r="AH142">
        <f t="shared" si="25"/>
        <v>0</v>
      </c>
      <c r="AI142">
        <f t="shared" si="25"/>
        <v>0</v>
      </c>
      <c r="AJ142">
        <f t="shared" si="25"/>
        <v>0</v>
      </c>
      <c r="AK142">
        <f t="shared" si="25"/>
        <v>0</v>
      </c>
      <c r="AL142">
        <f t="shared" si="25"/>
        <v>0</v>
      </c>
      <c r="AM142">
        <f t="shared" si="25"/>
        <v>0</v>
      </c>
      <c r="AN142">
        <f t="shared" si="25"/>
        <v>0</v>
      </c>
      <c r="AO142">
        <f t="shared" si="25"/>
        <v>0</v>
      </c>
      <c r="AP142">
        <f t="shared" si="25"/>
        <v>0</v>
      </c>
      <c r="AQ142">
        <f t="shared" si="25"/>
        <v>0</v>
      </c>
      <c r="AR142">
        <f t="shared" si="25"/>
        <v>0</v>
      </c>
      <c r="AS142">
        <f t="shared" si="25"/>
        <v>0</v>
      </c>
      <c r="AT142">
        <f t="shared" si="25"/>
        <v>0</v>
      </c>
      <c r="AU142">
        <f t="shared" si="25"/>
        <v>0</v>
      </c>
      <c r="AV142">
        <f t="shared" si="25"/>
        <v>0</v>
      </c>
      <c r="AW142">
        <f t="shared" si="25"/>
        <v>0</v>
      </c>
      <c r="AX142">
        <f t="shared" si="25"/>
        <v>0</v>
      </c>
      <c r="AY142">
        <f t="shared" si="25"/>
        <v>0</v>
      </c>
      <c r="AZ142">
        <f t="shared" si="25"/>
        <v>0</v>
      </c>
      <c r="BA142">
        <f t="shared" si="25"/>
        <v>0</v>
      </c>
      <c r="BB142">
        <f t="shared" si="25"/>
        <v>0</v>
      </c>
      <c r="BC142">
        <f t="shared" si="25"/>
        <v>0</v>
      </c>
      <c r="BE142">
        <f t="shared" ref="BE142:BE146" si="26">COUNTIF(C142:BC142, "0")</f>
        <v>53</v>
      </c>
    </row>
    <row r="143" spans="1:57" hidden="1">
      <c r="B143" t="s">
        <v>160</v>
      </c>
      <c r="C143">
        <f t="shared" ref="C143:BC143" si="27">COUNTIF(C4:C59, "rVA2")</f>
        <v>0</v>
      </c>
      <c r="D143">
        <f t="shared" si="27"/>
        <v>0</v>
      </c>
      <c r="E143">
        <f t="shared" si="27"/>
        <v>0</v>
      </c>
      <c r="F143">
        <f t="shared" si="27"/>
        <v>0</v>
      </c>
      <c r="G143">
        <f t="shared" si="27"/>
        <v>0</v>
      </c>
      <c r="H143">
        <f t="shared" si="27"/>
        <v>0</v>
      </c>
      <c r="I143">
        <f t="shared" si="27"/>
        <v>0</v>
      </c>
      <c r="J143">
        <f t="shared" si="27"/>
        <v>0</v>
      </c>
      <c r="K143">
        <f t="shared" si="27"/>
        <v>0</v>
      </c>
      <c r="L143">
        <f t="shared" si="27"/>
        <v>0</v>
      </c>
      <c r="M143">
        <f t="shared" si="27"/>
        <v>0</v>
      </c>
      <c r="N143">
        <f t="shared" si="27"/>
        <v>0</v>
      </c>
      <c r="O143">
        <f t="shared" si="27"/>
        <v>0</v>
      </c>
      <c r="P143">
        <f t="shared" si="27"/>
        <v>0</v>
      </c>
      <c r="Q143">
        <f t="shared" si="27"/>
        <v>0</v>
      </c>
      <c r="R143">
        <f t="shared" si="27"/>
        <v>0</v>
      </c>
      <c r="S143">
        <f t="shared" si="27"/>
        <v>0</v>
      </c>
      <c r="T143">
        <f t="shared" si="27"/>
        <v>0</v>
      </c>
      <c r="U143">
        <f t="shared" si="27"/>
        <v>0</v>
      </c>
      <c r="V143">
        <f t="shared" si="27"/>
        <v>0</v>
      </c>
      <c r="W143">
        <f t="shared" si="27"/>
        <v>0</v>
      </c>
      <c r="X143">
        <f t="shared" si="27"/>
        <v>0</v>
      </c>
      <c r="Y143">
        <f t="shared" si="27"/>
        <v>0</v>
      </c>
      <c r="Z143">
        <f t="shared" si="27"/>
        <v>0</v>
      </c>
      <c r="AA143">
        <f t="shared" si="27"/>
        <v>0</v>
      </c>
      <c r="AB143">
        <f t="shared" si="27"/>
        <v>0</v>
      </c>
      <c r="AC143">
        <f t="shared" si="27"/>
        <v>0</v>
      </c>
      <c r="AD143">
        <f t="shared" si="27"/>
        <v>0</v>
      </c>
      <c r="AE143">
        <f t="shared" si="27"/>
        <v>0</v>
      </c>
      <c r="AF143">
        <f t="shared" si="27"/>
        <v>0</v>
      </c>
      <c r="AG143">
        <f t="shared" si="27"/>
        <v>0</v>
      </c>
      <c r="AH143">
        <f t="shared" si="27"/>
        <v>0</v>
      </c>
      <c r="AI143">
        <f t="shared" si="27"/>
        <v>0</v>
      </c>
      <c r="AJ143">
        <f t="shared" si="27"/>
        <v>0</v>
      </c>
      <c r="AK143">
        <f t="shared" si="27"/>
        <v>0</v>
      </c>
      <c r="AL143">
        <f t="shared" si="27"/>
        <v>0</v>
      </c>
      <c r="AM143">
        <f t="shared" si="27"/>
        <v>0</v>
      </c>
      <c r="AN143">
        <f t="shared" si="27"/>
        <v>0</v>
      </c>
      <c r="AO143">
        <f t="shared" si="27"/>
        <v>0</v>
      </c>
      <c r="AP143">
        <f t="shared" si="27"/>
        <v>0</v>
      </c>
      <c r="AQ143">
        <f t="shared" si="27"/>
        <v>0</v>
      </c>
      <c r="AR143">
        <f t="shared" si="27"/>
        <v>0</v>
      </c>
      <c r="AS143">
        <f t="shared" si="27"/>
        <v>0</v>
      </c>
      <c r="AT143">
        <f t="shared" si="27"/>
        <v>0</v>
      </c>
      <c r="AU143">
        <f t="shared" si="27"/>
        <v>0</v>
      </c>
      <c r="AV143">
        <f t="shared" si="27"/>
        <v>0</v>
      </c>
      <c r="AW143">
        <f t="shared" si="27"/>
        <v>0</v>
      </c>
      <c r="AX143">
        <f t="shared" si="27"/>
        <v>0</v>
      </c>
      <c r="AY143">
        <f t="shared" si="27"/>
        <v>0</v>
      </c>
      <c r="AZ143">
        <f t="shared" si="27"/>
        <v>0</v>
      </c>
      <c r="BA143">
        <f t="shared" si="27"/>
        <v>0</v>
      </c>
      <c r="BB143">
        <f t="shared" si="27"/>
        <v>0</v>
      </c>
      <c r="BC143">
        <f t="shared" si="27"/>
        <v>0</v>
      </c>
      <c r="BE143">
        <f t="shared" si="26"/>
        <v>53</v>
      </c>
    </row>
    <row r="144" spans="1:57" hidden="1">
      <c r="B144" t="s">
        <v>161</v>
      </c>
      <c r="C144">
        <f t="shared" ref="C144:BC144" si="28">COUNTIF(C4:C59, "rVA3")</f>
        <v>0</v>
      </c>
      <c r="D144">
        <f t="shared" si="28"/>
        <v>0</v>
      </c>
      <c r="E144">
        <f t="shared" si="28"/>
        <v>0</v>
      </c>
      <c r="F144">
        <f t="shared" si="28"/>
        <v>0</v>
      </c>
      <c r="G144">
        <f t="shared" si="28"/>
        <v>0</v>
      </c>
      <c r="H144">
        <f t="shared" si="28"/>
        <v>0</v>
      </c>
      <c r="I144">
        <f t="shared" si="28"/>
        <v>0</v>
      </c>
      <c r="J144">
        <f t="shared" si="28"/>
        <v>0</v>
      </c>
      <c r="K144">
        <f t="shared" si="28"/>
        <v>0</v>
      </c>
      <c r="L144">
        <f t="shared" si="28"/>
        <v>0</v>
      </c>
      <c r="M144">
        <f t="shared" si="28"/>
        <v>0</v>
      </c>
      <c r="N144">
        <f t="shared" si="28"/>
        <v>0</v>
      </c>
      <c r="O144">
        <f t="shared" si="28"/>
        <v>0</v>
      </c>
      <c r="P144">
        <f t="shared" si="28"/>
        <v>0</v>
      </c>
      <c r="Q144">
        <f t="shared" si="28"/>
        <v>0</v>
      </c>
      <c r="R144">
        <f t="shared" si="28"/>
        <v>0</v>
      </c>
      <c r="S144">
        <f t="shared" si="28"/>
        <v>0</v>
      </c>
      <c r="T144">
        <f t="shared" si="28"/>
        <v>0</v>
      </c>
      <c r="U144">
        <f t="shared" si="28"/>
        <v>0</v>
      </c>
      <c r="V144">
        <f t="shared" si="28"/>
        <v>0</v>
      </c>
      <c r="W144">
        <f t="shared" si="28"/>
        <v>0</v>
      </c>
      <c r="X144">
        <f t="shared" si="28"/>
        <v>0</v>
      </c>
      <c r="Y144">
        <f t="shared" si="28"/>
        <v>0</v>
      </c>
      <c r="Z144">
        <f t="shared" si="28"/>
        <v>0</v>
      </c>
      <c r="AA144">
        <f t="shared" si="28"/>
        <v>0</v>
      </c>
      <c r="AB144">
        <f t="shared" si="28"/>
        <v>0</v>
      </c>
      <c r="AC144">
        <f t="shared" si="28"/>
        <v>0</v>
      </c>
      <c r="AD144">
        <f t="shared" si="28"/>
        <v>0</v>
      </c>
      <c r="AE144">
        <f t="shared" si="28"/>
        <v>0</v>
      </c>
      <c r="AF144">
        <f t="shared" si="28"/>
        <v>0</v>
      </c>
      <c r="AG144">
        <f t="shared" si="28"/>
        <v>0</v>
      </c>
      <c r="AH144">
        <f t="shared" si="28"/>
        <v>0</v>
      </c>
      <c r="AI144">
        <f t="shared" si="28"/>
        <v>0</v>
      </c>
      <c r="AJ144">
        <f t="shared" si="28"/>
        <v>0</v>
      </c>
      <c r="AK144">
        <f t="shared" si="28"/>
        <v>0</v>
      </c>
      <c r="AL144">
        <f t="shared" si="28"/>
        <v>0</v>
      </c>
      <c r="AM144">
        <f t="shared" si="28"/>
        <v>0</v>
      </c>
      <c r="AN144">
        <f t="shared" si="28"/>
        <v>0</v>
      </c>
      <c r="AO144">
        <f t="shared" si="28"/>
        <v>0</v>
      </c>
      <c r="AP144">
        <f t="shared" si="28"/>
        <v>0</v>
      </c>
      <c r="AQ144">
        <f t="shared" si="28"/>
        <v>0</v>
      </c>
      <c r="AR144">
        <f t="shared" si="28"/>
        <v>0</v>
      </c>
      <c r="AS144">
        <f t="shared" si="28"/>
        <v>0</v>
      </c>
      <c r="AT144">
        <f t="shared" si="28"/>
        <v>0</v>
      </c>
      <c r="AU144">
        <f t="shared" si="28"/>
        <v>0</v>
      </c>
      <c r="AV144">
        <f t="shared" si="28"/>
        <v>0</v>
      </c>
      <c r="AW144">
        <f t="shared" si="28"/>
        <v>0</v>
      </c>
      <c r="AX144">
        <f t="shared" si="28"/>
        <v>0</v>
      </c>
      <c r="AY144">
        <f t="shared" si="28"/>
        <v>0</v>
      </c>
      <c r="AZ144">
        <f t="shared" si="28"/>
        <v>0</v>
      </c>
      <c r="BA144">
        <f t="shared" si="28"/>
        <v>0</v>
      </c>
      <c r="BB144">
        <f t="shared" si="28"/>
        <v>0</v>
      </c>
      <c r="BC144">
        <f t="shared" si="28"/>
        <v>0</v>
      </c>
      <c r="BE144">
        <f t="shared" si="26"/>
        <v>53</v>
      </c>
    </row>
    <row r="145" spans="2:57" hidden="1">
      <c r="B145" t="s">
        <v>162</v>
      </c>
      <c r="C145">
        <f t="shared" ref="C145:BC145" si="29">COUNTIF(C4:C59, "rVA4")</f>
        <v>0</v>
      </c>
      <c r="D145">
        <f t="shared" si="29"/>
        <v>0</v>
      </c>
      <c r="E145">
        <f t="shared" si="29"/>
        <v>0</v>
      </c>
      <c r="F145">
        <f t="shared" si="29"/>
        <v>0</v>
      </c>
      <c r="G145">
        <f t="shared" si="29"/>
        <v>0</v>
      </c>
      <c r="H145">
        <f t="shared" si="29"/>
        <v>0</v>
      </c>
      <c r="I145">
        <f t="shared" si="29"/>
        <v>0</v>
      </c>
      <c r="J145">
        <f t="shared" si="29"/>
        <v>0</v>
      </c>
      <c r="K145">
        <f t="shared" si="29"/>
        <v>0</v>
      </c>
      <c r="L145">
        <f t="shared" si="29"/>
        <v>0</v>
      </c>
      <c r="M145">
        <f t="shared" si="29"/>
        <v>0</v>
      </c>
      <c r="N145">
        <f t="shared" si="29"/>
        <v>0</v>
      </c>
      <c r="O145">
        <f t="shared" si="29"/>
        <v>0</v>
      </c>
      <c r="P145">
        <f t="shared" si="29"/>
        <v>0</v>
      </c>
      <c r="Q145">
        <f t="shared" si="29"/>
        <v>0</v>
      </c>
      <c r="R145">
        <f t="shared" si="29"/>
        <v>0</v>
      </c>
      <c r="S145">
        <f t="shared" si="29"/>
        <v>0</v>
      </c>
      <c r="T145">
        <f t="shared" si="29"/>
        <v>0</v>
      </c>
      <c r="U145">
        <f t="shared" si="29"/>
        <v>0</v>
      </c>
      <c r="V145">
        <f t="shared" si="29"/>
        <v>0</v>
      </c>
      <c r="W145">
        <f t="shared" si="29"/>
        <v>0</v>
      </c>
      <c r="X145">
        <f t="shared" si="29"/>
        <v>0</v>
      </c>
      <c r="Y145">
        <f t="shared" si="29"/>
        <v>0</v>
      </c>
      <c r="Z145">
        <f t="shared" si="29"/>
        <v>0</v>
      </c>
      <c r="AA145">
        <f t="shared" si="29"/>
        <v>0</v>
      </c>
      <c r="AB145">
        <f t="shared" si="29"/>
        <v>0</v>
      </c>
      <c r="AC145">
        <f t="shared" si="29"/>
        <v>0</v>
      </c>
      <c r="AD145">
        <f t="shared" si="29"/>
        <v>0</v>
      </c>
      <c r="AE145">
        <f t="shared" si="29"/>
        <v>0</v>
      </c>
      <c r="AF145">
        <f t="shared" si="29"/>
        <v>0</v>
      </c>
      <c r="AG145">
        <f t="shared" si="29"/>
        <v>0</v>
      </c>
      <c r="AH145">
        <f t="shared" si="29"/>
        <v>0</v>
      </c>
      <c r="AI145">
        <f t="shared" si="29"/>
        <v>0</v>
      </c>
      <c r="AJ145">
        <f t="shared" si="29"/>
        <v>0</v>
      </c>
      <c r="AK145">
        <f t="shared" si="29"/>
        <v>0</v>
      </c>
      <c r="AL145">
        <f t="shared" si="29"/>
        <v>0</v>
      </c>
      <c r="AM145">
        <f t="shared" si="29"/>
        <v>0</v>
      </c>
      <c r="AN145">
        <f t="shared" si="29"/>
        <v>0</v>
      </c>
      <c r="AO145">
        <f t="shared" si="29"/>
        <v>0</v>
      </c>
      <c r="AP145">
        <f t="shared" si="29"/>
        <v>0</v>
      </c>
      <c r="AQ145">
        <f t="shared" si="29"/>
        <v>0</v>
      </c>
      <c r="AR145">
        <f t="shared" si="29"/>
        <v>0</v>
      </c>
      <c r="AS145">
        <f t="shared" si="29"/>
        <v>0</v>
      </c>
      <c r="AT145">
        <f t="shared" si="29"/>
        <v>0</v>
      </c>
      <c r="AU145">
        <f t="shared" si="29"/>
        <v>0</v>
      </c>
      <c r="AV145">
        <f t="shared" si="29"/>
        <v>0</v>
      </c>
      <c r="AW145">
        <f t="shared" si="29"/>
        <v>0</v>
      </c>
      <c r="AX145">
        <f t="shared" si="29"/>
        <v>0</v>
      </c>
      <c r="AY145">
        <f t="shared" si="29"/>
        <v>0</v>
      </c>
      <c r="AZ145">
        <f t="shared" si="29"/>
        <v>0</v>
      </c>
      <c r="BA145">
        <f t="shared" si="29"/>
        <v>0</v>
      </c>
      <c r="BB145">
        <f t="shared" si="29"/>
        <v>0</v>
      </c>
      <c r="BC145">
        <f t="shared" si="29"/>
        <v>0</v>
      </c>
      <c r="BE145">
        <f t="shared" si="26"/>
        <v>53</v>
      </c>
    </row>
    <row r="146" spans="2:57" hidden="1">
      <c r="B146" t="s">
        <v>163</v>
      </c>
      <c r="C146">
        <f t="shared" ref="C146:BC146" si="30">COUNTIF(C4:C59, "rVA5")</f>
        <v>0</v>
      </c>
      <c r="D146">
        <f t="shared" si="30"/>
        <v>0</v>
      </c>
      <c r="E146">
        <f t="shared" si="30"/>
        <v>0</v>
      </c>
      <c r="F146">
        <f t="shared" si="30"/>
        <v>0</v>
      </c>
      <c r="G146">
        <f t="shared" si="30"/>
        <v>0</v>
      </c>
      <c r="H146">
        <f t="shared" si="30"/>
        <v>0</v>
      </c>
      <c r="I146">
        <f t="shared" si="30"/>
        <v>0</v>
      </c>
      <c r="J146">
        <f t="shared" si="30"/>
        <v>0</v>
      </c>
      <c r="K146">
        <f t="shared" si="30"/>
        <v>0</v>
      </c>
      <c r="L146">
        <f t="shared" si="30"/>
        <v>0</v>
      </c>
      <c r="M146">
        <f t="shared" si="30"/>
        <v>0</v>
      </c>
      <c r="N146">
        <f t="shared" si="30"/>
        <v>0</v>
      </c>
      <c r="O146">
        <f t="shared" si="30"/>
        <v>0</v>
      </c>
      <c r="P146">
        <f t="shared" si="30"/>
        <v>0</v>
      </c>
      <c r="Q146">
        <f t="shared" si="30"/>
        <v>0</v>
      </c>
      <c r="R146">
        <f t="shared" si="30"/>
        <v>0</v>
      </c>
      <c r="S146">
        <f t="shared" si="30"/>
        <v>0</v>
      </c>
      <c r="T146">
        <f t="shared" si="30"/>
        <v>0</v>
      </c>
      <c r="U146">
        <f t="shared" si="30"/>
        <v>0</v>
      </c>
      <c r="V146">
        <f t="shared" si="30"/>
        <v>0</v>
      </c>
      <c r="W146">
        <f t="shared" si="30"/>
        <v>0</v>
      </c>
      <c r="X146">
        <f t="shared" si="30"/>
        <v>0</v>
      </c>
      <c r="Y146">
        <f t="shared" si="30"/>
        <v>0</v>
      </c>
      <c r="Z146">
        <f t="shared" si="30"/>
        <v>0</v>
      </c>
      <c r="AA146">
        <f t="shared" si="30"/>
        <v>0</v>
      </c>
      <c r="AB146">
        <f t="shared" si="30"/>
        <v>0</v>
      </c>
      <c r="AC146">
        <f t="shared" si="30"/>
        <v>0</v>
      </c>
      <c r="AD146">
        <f t="shared" si="30"/>
        <v>0</v>
      </c>
      <c r="AE146">
        <f t="shared" si="30"/>
        <v>0</v>
      </c>
      <c r="AF146">
        <f t="shared" si="30"/>
        <v>0</v>
      </c>
      <c r="AG146">
        <f t="shared" si="30"/>
        <v>0</v>
      </c>
      <c r="AH146">
        <f t="shared" si="30"/>
        <v>0</v>
      </c>
      <c r="AI146">
        <f t="shared" si="30"/>
        <v>0</v>
      </c>
      <c r="AJ146">
        <f t="shared" si="30"/>
        <v>0</v>
      </c>
      <c r="AK146">
        <f t="shared" si="30"/>
        <v>0</v>
      </c>
      <c r="AL146">
        <f t="shared" si="30"/>
        <v>0</v>
      </c>
      <c r="AM146">
        <f t="shared" si="30"/>
        <v>0</v>
      </c>
      <c r="AN146">
        <f t="shared" si="30"/>
        <v>0</v>
      </c>
      <c r="AO146">
        <f t="shared" si="30"/>
        <v>0</v>
      </c>
      <c r="AP146">
        <f t="shared" si="30"/>
        <v>0</v>
      </c>
      <c r="AQ146">
        <f t="shared" si="30"/>
        <v>0</v>
      </c>
      <c r="AR146">
        <f t="shared" si="30"/>
        <v>0</v>
      </c>
      <c r="AS146">
        <f t="shared" si="30"/>
        <v>0</v>
      </c>
      <c r="AT146">
        <f t="shared" si="30"/>
        <v>0</v>
      </c>
      <c r="AU146">
        <f t="shared" si="30"/>
        <v>0</v>
      </c>
      <c r="AV146">
        <f t="shared" si="30"/>
        <v>0</v>
      </c>
      <c r="AW146">
        <f t="shared" si="30"/>
        <v>0</v>
      </c>
      <c r="AX146">
        <f t="shared" si="30"/>
        <v>0</v>
      </c>
      <c r="AY146">
        <f t="shared" si="30"/>
        <v>0</v>
      </c>
      <c r="AZ146">
        <f t="shared" si="30"/>
        <v>0</v>
      </c>
      <c r="BA146">
        <f t="shared" si="30"/>
        <v>0</v>
      </c>
      <c r="BB146">
        <f t="shared" si="30"/>
        <v>0</v>
      </c>
      <c r="BC146">
        <f t="shared" si="30"/>
        <v>0</v>
      </c>
      <c r="BE146">
        <f t="shared" si="26"/>
        <v>53</v>
      </c>
    </row>
    <row r="147" spans="2:57" hidden="1"/>
    <row r="148" spans="2:57" hidden="1">
      <c r="B148" s="8" t="s">
        <v>136</v>
      </c>
      <c r="C148">
        <f t="shared" ref="C148:BC148" si="31">SUM(C149:C151)</f>
        <v>0</v>
      </c>
      <c r="D148">
        <f t="shared" si="31"/>
        <v>0</v>
      </c>
      <c r="E148">
        <f t="shared" si="31"/>
        <v>0</v>
      </c>
      <c r="F148">
        <f t="shared" si="31"/>
        <v>0</v>
      </c>
      <c r="G148">
        <f t="shared" si="31"/>
        <v>0</v>
      </c>
      <c r="H148">
        <f t="shared" si="31"/>
        <v>0</v>
      </c>
      <c r="I148">
        <f t="shared" si="31"/>
        <v>0</v>
      </c>
      <c r="J148">
        <f t="shared" si="31"/>
        <v>0</v>
      </c>
      <c r="K148">
        <f t="shared" si="31"/>
        <v>0</v>
      </c>
      <c r="L148">
        <f t="shared" si="31"/>
        <v>0</v>
      </c>
      <c r="M148">
        <f t="shared" si="31"/>
        <v>0</v>
      </c>
      <c r="N148">
        <f t="shared" si="31"/>
        <v>0</v>
      </c>
      <c r="O148">
        <f t="shared" si="31"/>
        <v>0</v>
      </c>
      <c r="P148">
        <f t="shared" si="31"/>
        <v>0</v>
      </c>
      <c r="Q148">
        <f t="shared" si="31"/>
        <v>0</v>
      </c>
      <c r="R148">
        <f t="shared" si="31"/>
        <v>0</v>
      </c>
      <c r="S148">
        <f t="shared" si="31"/>
        <v>0</v>
      </c>
      <c r="T148">
        <f t="shared" si="31"/>
        <v>0</v>
      </c>
      <c r="U148">
        <f t="shared" si="31"/>
        <v>0</v>
      </c>
      <c r="V148">
        <f t="shared" si="31"/>
        <v>0</v>
      </c>
      <c r="W148">
        <f t="shared" si="31"/>
        <v>0</v>
      </c>
      <c r="X148">
        <f t="shared" si="31"/>
        <v>0</v>
      </c>
      <c r="Y148">
        <f t="shared" si="31"/>
        <v>0</v>
      </c>
      <c r="Z148">
        <f t="shared" si="31"/>
        <v>0</v>
      </c>
      <c r="AA148">
        <f t="shared" si="31"/>
        <v>0</v>
      </c>
      <c r="AB148">
        <f t="shared" si="31"/>
        <v>0</v>
      </c>
      <c r="AC148">
        <f t="shared" si="31"/>
        <v>0</v>
      </c>
      <c r="AD148">
        <f t="shared" si="31"/>
        <v>0</v>
      </c>
      <c r="AE148">
        <f t="shared" si="31"/>
        <v>0</v>
      </c>
      <c r="AF148">
        <f t="shared" si="31"/>
        <v>0</v>
      </c>
      <c r="AG148">
        <f t="shared" si="31"/>
        <v>0</v>
      </c>
      <c r="AH148">
        <f t="shared" si="31"/>
        <v>0</v>
      </c>
      <c r="AI148">
        <f t="shared" si="31"/>
        <v>0</v>
      </c>
      <c r="AJ148">
        <f t="shared" si="31"/>
        <v>0</v>
      </c>
      <c r="AK148">
        <f t="shared" si="31"/>
        <v>0</v>
      </c>
      <c r="AL148">
        <f t="shared" si="31"/>
        <v>0</v>
      </c>
      <c r="AM148">
        <f t="shared" si="31"/>
        <v>0</v>
      </c>
      <c r="AN148">
        <f t="shared" si="31"/>
        <v>0</v>
      </c>
      <c r="AO148">
        <f t="shared" si="31"/>
        <v>0</v>
      </c>
      <c r="AP148">
        <f t="shared" si="31"/>
        <v>0</v>
      </c>
      <c r="AQ148">
        <f t="shared" si="31"/>
        <v>0</v>
      </c>
      <c r="AR148">
        <f t="shared" si="31"/>
        <v>0</v>
      </c>
      <c r="AS148">
        <f t="shared" si="31"/>
        <v>0</v>
      </c>
      <c r="AT148">
        <f t="shared" si="31"/>
        <v>0</v>
      </c>
      <c r="AU148">
        <f t="shared" si="31"/>
        <v>0</v>
      </c>
      <c r="AV148">
        <f t="shared" si="31"/>
        <v>0</v>
      </c>
      <c r="AW148">
        <f t="shared" si="31"/>
        <v>0</v>
      </c>
      <c r="AX148">
        <f t="shared" si="31"/>
        <v>0</v>
      </c>
      <c r="AY148">
        <f t="shared" si="31"/>
        <v>0</v>
      </c>
      <c r="AZ148">
        <f t="shared" si="31"/>
        <v>0</v>
      </c>
      <c r="BA148">
        <f t="shared" si="31"/>
        <v>0</v>
      </c>
      <c r="BB148">
        <f t="shared" si="31"/>
        <v>0</v>
      </c>
      <c r="BC148">
        <f t="shared" si="31"/>
        <v>0</v>
      </c>
    </row>
    <row r="149" spans="2:57" hidden="1">
      <c r="B149" t="s">
        <v>164</v>
      </c>
      <c r="C149">
        <f t="shared" ref="C149:BC149" si="32">COUNTIF(C4:C59, "rMICU1")</f>
        <v>0</v>
      </c>
      <c r="D149">
        <f t="shared" si="32"/>
        <v>0</v>
      </c>
      <c r="E149">
        <f t="shared" si="32"/>
        <v>0</v>
      </c>
      <c r="F149">
        <f t="shared" si="32"/>
        <v>0</v>
      </c>
      <c r="G149">
        <f t="shared" si="32"/>
        <v>0</v>
      </c>
      <c r="H149">
        <f t="shared" si="32"/>
        <v>0</v>
      </c>
      <c r="I149">
        <f t="shared" si="32"/>
        <v>0</v>
      </c>
      <c r="J149">
        <f t="shared" si="32"/>
        <v>0</v>
      </c>
      <c r="K149">
        <f t="shared" si="32"/>
        <v>0</v>
      </c>
      <c r="L149">
        <f t="shared" si="32"/>
        <v>0</v>
      </c>
      <c r="M149">
        <f t="shared" si="32"/>
        <v>0</v>
      </c>
      <c r="N149">
        <f t="shared" si="32"/>
        <v>0</v>
      </c>
      <c r="O149">
        <f t="shared" si="32"/>
        <v>0</v>
      </c>
      <c r="P149">
        <f t="shared" si="32"/>
        <v>0</v>
      </c>
      <c r="Q149">
        <f t="shared" si="32"/>
        <v>0</v>
      </c>
      <c r="R149">
        <f t="shared" si="32"/>
        <v>0</v>
      </c>
      <c r="S149">
        <f t="shared" si="32"/>
        <v>0</v>
      </c>
      <c r="T149">
        <f t="shared" si="32"/>
        <v>0</v>
      </c>
      <c r="U149">
        <f t="shared" si="32"/>
        <v>0</v>
      </c>
      <c r="V149">
        <f t="shared" si="32"/>
        <v>0</v>
      </c>
      <c r="W149">
        <f t="shared" si="32"/>
        <v>0</v>
      </c>
      <c r="X149">
        <f t="shared" si="32"/>
        <v>0</v>
      </c>
      <c r="Y149">
        <f t="shared" si="32"/>
        <v>0</v>
      </c>
      <c r="Z149">
        <f t="shared" si="32"/>
        <v>0</v>
      </c>
      <c r="AA149">
        <f t="shared" si="32"/>
        <v>0</v>
      </c>
      <c r="AB149">
        <f t="shared" si="32"/>
        <v>0</v>
      </c>
      <c r="AC149">
        <f t="shared" si="32"/>
        <v>0</v>
      </c>
      <c r="AD149">
        <f t="shared" si="32"/>
        <v>0</v>
      </c>
      <c r="AE149">
        <f t="shared" si="32"/>
        <v>0</v>
      </c>
      <c r="AF149">
        <f t="shared" si="32"/>
        <v>0</v>
      </c>
      <c r="AG149">
        <f t="shared" si="32"/>
        <v>0</v>
      </c>
      <c r="AH149">
        <f t="shared" si="32"/>
        <v>0</v>
      </c>
      <c r="AI149">
        <f t="shared" si="32"/>
        <v>0</v>
      </c>
      <c r="AJ149">
        <f t="shared" si="32"/>
        <v>0</v>
      </c>
      <c r="AK149">
        <f t="shared" si="32"/>
        <v>0</v>
      </c>
      <c r="AL149">
        <f t="shared" si="32"/>
        <v>0</v>
      </c>
      <c r="AM149">
        <f t="shared" si="32"/>
        <v>0</v>
      </c>
      <c r="AN149">
        <f t="shared" si="32"/>
        <v>0</v>
      </c>
      <c r="AO149">
        <f t="shared" si="32"/>
        <v>0</v>
      </c>
      <c r="AP149">
        <f t="shared" si="32"/>
        <v>0</v>
      </c>
      <c r="AQ149">
        <f t="shared" si="32"/>
        <v>0</v>
      </c>
      <c r="AR149">
        <f t="shared" si="32"/>
        <v>0</v>
      </c>
      <c r="AS149">
        <f t="shared" si="32"/>
        <v>0</v>
      </c>
      <c r="AT149">
        <f t="shared" si="32"/>
        <v>0</v>
      </c>
      <c r="AU149">
        <f t="shared" si="32"/>
        <v>0</v>
      </c>
      <c r="AV149">
        <f t="shared" si="32"/>
        <v>0</v>
      </c>
      <c r="AW149">
        <f t="shared" si="32"/>
        <v>0</v>
      </c>
      <c r="AX149">
        <f t="shared" si="32"/>
        <v>0</v>
      </c>
      <c r="AY149">
        <f t="shared" si="32"/>
        <v>0</v>
      </c>
      <c r="AZ149">
        <f t="shared" si="32"/>
        <v>0</v>
      </c>
      <c r="BA149">
        <f t="shared" si="32"/>
        <v>0</v>
      </c>
      <c r="BB149">
        <f t="shared" si="32"/>
        <v>0</v>
      </c>
      <c r="BC149">
        <f t="shared" si="32"/>
        <v>0</v>
      </c>
      <c r="BE149">
        <f t="shared" ref="BE149:BE151" si="33">COUNTIF(C149:BC149, "0")</f>
        <v>53</v>
      </c>
    </row>
    <row r="150" spans="2:57" hidden="1">
      <c r="B150" t="s">
        <v>165</v>
      </c>
      <c r="C150">
        <f t="shared" ref="C150:BC150" si="34">COUNTIF(C4:C59, "rMICU2")</f>
        <v>0</v>
      </c>
      <c r="D150">
        <f t="shared" si="34"/>
        <v>0</v>
      </c>
      <c r="E150">
        <f t="shared" si="34"/>
        <v>0</v>
      </c>
      <c r="F150">
        <f t="shared" si="34"/>
        <v>0</v>
      </c>
      <c r="G150">
        <f t="shared" si="34"/>
        <v>0</v>
      </c>
      <c r="H150">
        <f t="shared" si="34"/>
        <v>0</v>
      </c>
      <c r="I150">
        <f t="shared" si="34"/>
        <v>0</v>
      </c>
      <c r="J150">
        <f t="shared" si="34"/>
        <v>0</v>
      </c>
      <c r="K150">
        <f t="shared" si="34"/>
        <v>0</v>
      </c>
      <c r="L150">
        <f t="shared" si="34"/>
        <v>0</v>
      </c>
      <c r="M150">
        <f t="shared" si="34"/>
        <v>0</v>
      </c>
      <c r="N150">
        <f t="shared" si="34"/>
        <v>0</v>
      </c>
      <c r="O150">
        <f t="shared" si="34"/>
        <v>0</v>
      </c>
      <c r="P150">
        <f t="shared" si="34"/>
        <v>0</v>
      </c>
      <c r="Q150">
        <f t="shared" si="34"/>
        <v>0</v>
      </c>
      <c r="R150">
        <f t="shared" si="34"/>
        <v>0</v>
      </c>
      <c r="S150">
        <f t="shared" si="34"/>
        <v>0</v>
      </c>
      <c r="T150">
        <f t="shared" si="34"/>
        <v>0</v>
      </c>
      <c r="U150">
        <f t="shared" si="34"/>
        <v>0</v>
      </c>
      <c r="V150">
        <f t="shared" si="34"/>
        <v>0</v>
      </c>
      <c r="W150">
        <f t="shared" si="34"/>
        <v>0</v>
      </c>
      <c r="X150">
        <f t="shared" si="34"/>
        <v>0</v>
      </c>
      <c r="Y150">
        <f t="shared" si="34"/>
        <v>0</v>
      </c>
      <c r="Z150">
        <f t="shared" si="34"/>
        <v>0</v>
      </c>
      <c r="AA150">
        <f t="shared" si="34"/>
        <v>0</v>
      </c>
      <c r="AB150">
        <f t="shared" si="34"/>
        <v>0</v>
      </c>
      <c r="AC150">
        <f t="shared" si="34"/>
        <v>0</v>
      </c>
      <c r="AD150">
        <f t="shared" si="34"/>
        <v>0</v>
      </c>
      <c r="AE150">
        <f t="shared" si="34"/>
        <v>0</v>
      </c>
      <c r="AF150">
        <f t="shared" si="34"/>
        <v>0</v>
      </c>
      <c r="AG150">
        <f t="shared" si="34"/>
        <v>0</v>
      </c>
      <c r="AH150">
        <f t="shared" si="34"/>
        <v>0</v>
      </c>
      <c r="AI150">
        <f t="shared" si="34"/>
        <v>0</v>
      </c>
      <c r="AJ150">
        <f t="shared" si="34"/>
        <v>0</v>
      </c>
      <c r="AK150">
        <f t="shared" si="34"/>
        <v>0</v>
      </c>
      <c r="AL150">
        <f t="shared" si="34"/>
        <v>0</v>
      </c>
      <c r="AM150">
        <f t="shared" si="34"/>
        <v>0</v>
      </c>
      <c r="AN150">
        <f t="shared" si="34"/>
        <v>0</v>
      </c>
      <c r="AO150">
        <f t="shared" si="34"/>
        <v>0</v>
      </c>
      <c r="AP150">
        <f t="shared" si="34"/>
        <v>0</v>
      </c>
      <c r="AQ150">
        <f t="shared" si="34"/>
        <v>0</v>
      </c>
      <c r="AR150">
        <f t="shared" si="34"/>
        <v>0</v>
      </c>
      <c r="AS150">
        <f t="shared" si="34"/>
        <v>0</v>
      </c>
      <c r="AT150">
        <f t="shared" si="34"/>
        <v>0</v>
      </c>
      <c r="AU150">
        <f t="shared" si="34"/>
        <v>0</v>
      </c>
      <c r="AV150">
        <f t="shared" si="34"/>
        <v>0</v>
      </c>
      <c r="AW150">
        <f t="shared" si="34"/>
        <v>0</v>
      </c>
      <c r="AX150">
        <f t="shared" si="34"/>
        <v>0</v>
      </c>
      <c r="AY150">
        <f t="shared" si="34"/>
        <v>0</v>
      </c>
      <c r="AZ150">
        <f t="shared" si="34"/>
        <v>0</v>
      </c>
      <c r="BA150">
        <f t="shared" si="34"/>
        <v>0</v>
      </c>
      <c r="BB150">
        <f t="shared" si="34"/>
        <v>0</v>
      </c>
      <c r="BC150">
        <f t="shared" si="34"/>
        <v>0</v>
      </c>
      <c r="BE150">
        <f t="shared" si="33"/>
        <v>53</v>
      </c>
    </row>
    <row r="151" spans="2:57" hidden="1">
      <c r="B151" t="s">
        <v>166</v>
      </c>
      <c r="C151">
        <f t="shared" ref="C151:BC151" si="35">COUNTIF(C4:C59, "rMICU3")</f>
        <v>0</v>
      </c>
      <c r="D151">
        <f t="shared" si="35"/>
        <v>0</v>
      </c>
      <c r="E151">
        <f t="shared" si="35"/>
        <v>0</v>
      </c>
      <c r="F151">
        <f t="shared" si="35"/>
        <v>0</v>
      </c>
      <c r="G151">
        <f t="shared" si="35"/>
        <v>0</v>
      </c>
      <c r="H151">
        <f t="shared" si="35"/>
        <v>0</v>
      </c>
      <c r="I151">
        <f t="shared" si="35"/>
        <v>0</v>
      </c>
      <c r="J151">
        <f t="shared" si="35"/>
        <v>0</v>
      </c>
      <c r="K151">
        <f t="shared" si="35"/>
        <v>0</v>
      </c>
      <c r="L151">
        <f t="shared" si="35"/>
        <v>0</v>
      </c>
      <c r="M151">
        <f t="shared" si="35"/>
        <v>0</v>
      </c>
      <c r="N151">
        <f t="shared" si="35"/>
        <v>0</v>
      </c>
      <c r="O151">
        <f t="shared" si="35"/>
        <v>0</v>
      </c>
      <c r="P151">
        <f t="shared" si="35"/>
        <v>0</v>
      </c>
      <c r="Q151">
        <f t="shared" si="35"/>
        <v>0</v>
      </c>
      <c r="R151">
        <f t="shared" si="35"/>
        <v>0</v>
      </c>
      <c r="S151">
        <f t="shared" si="35"/>
        <v>0</v>
      </c>
      <c r="T151">
        <f t="shared" si="35"/>
        <v>0</v>
      </c>
      <c r="U151">
        <f t="shared" si="35"/>
        <v>0</v>
      </c>
      <c r="V151">
        <f t="shared" si="35"/>
        <v>0</v>
      </c>
      <c r="W151">
        <f t="shared" si="35"/>
        <v>0</v>
      </c>
      <c r="X151">
        <f t="shared" si="35"/>
        <v>0</v>
      </c>
      <c r="Y151">
        <f t="shared" si="35"/>
        <v>0</v>
      </c>
      <c r="Z151">
        <f t="shared" si="35"/>
        <v>0</v>
      </c>
      <c r="AA151">
        <f t="shared" si="35"/>
        <v>0</v>
      </c>
      <c r="AB151">
        <f t="shared" si="35"/>
        <v>0</v>
      </c>
      <c r="AC151">
        <f t="shared" si="35"/>
        <v>0</v>
      </c>
      <c r="AD151">
        <f t="shared" si="35"/>
        <v>0</v>
      </c>
      <c r="AE151">
        <f t="shared" si="35"/>
        <v>0</v>
      </c>
      <c r="AF151">
        <f t="shared" si="35"/>
        <v>0</v>
      </c>
      <c r="AG151">
        <f t="shared" si="35"/>
        <v>0</v>
      </c>
      <c r="AH151">
        <f t="shared" si="35"/>
        <v>0</v>
      </c>
      <c r="AI151">
        <f t="shared" si="35"/>
        <v>0</v>
      </c>
      <c r="AJ151">
        <f t="shared" si="35"/>
        <v>0</v>
      </c>
      <c r="AK151">
        <f t="shared" si="35"/>
        <v>0</v>
      </c>
      <c r="AL151">
        <f t="shared" si="35"/>
        <v>0</v>
      </c>
      <c r="AM151">
        <f t="shared" si="35"/>
        <v>0</v>
      </c>
      <c r="AN151">
        <f t="shared" si="35"/>
        <v>0</v>
      </c>
      <c r="AO151">
        <f t="shared" si="35"/>
        <v>0</v>
      </c>
      <c r="AP151">
        <f t="shared" si="35"/>
        <v>0</v>
      </c>
      <c r="AQ151">
        <f t="shared" si="35"/>
        <v>0</v>
      </c>
      <c r="AR151">
        <f t="shared" si="35"/>
        <v>0</v>
      </c>
      <c r="AS151">
        <f t="shared" si="35"/>
        <v>0</v>
      </c>
      <c r="AT151">
        <f t="shared" si="35"/>
        <v>0</v>
      </c>
      <c r="AU151">
        <f t="shared" si="35"/>
        <v>0</v>
      </c>
      <c r="AV151">
        <f t="shared" si="35"/>
        <v>0</v>
      </c>
      <c r="AW151">
        <f t="shared" si="35"/>
        <v>0</v>
      </c>
      <c r="AX151">
        <f t="shared" si="35"/>
        <v>0</v>
      </c>
      <c r="AY151">
        <f t="shared" si="35"/>
        <v>0</v>
      </c>
      <c r="AZ151">
        <f t="shared" si="35"/>
        <v>0</v>
      </c>
      <c r="BA151">
        <f t="shared" si="35"/>
        <v>0</v>
      </c>
      <c r="BB151">
        <f t="shared" si="35"/>
        <v>0</v>
      </c>
      <c r="BC151">
        <f t="shared" si="35"/>
        <v>0</v>
      </c>
      <c r="BE151">
        <f t="shared" si="33"/>
        <v>53</v>
      </c>
    </row>
    <row r="152" spans="2:57" hidden="1"/>
    <row r="153" spans="2:57" hidden="1">
      <c r="B153" s="8" t="s">
        <v>138</v>
      </c>
      <c r="C153">
        <f t="shared" ref="C153:BC153" si="36">SUM(C154:C155)</f>
        <v>0</v>
      </c>
      <c r="D153">
        <f t="shared" si="36"/>
        <v>0</v>
      </c>
      <c r="E153">
        <f t="shared" si="36"/>
        <v>0</v>
      </c>
      <c r="F153">
        <f t="shared" si="36"/>
        <v>0</v>
      </c>
      <c r="G153">
        <f t="shared" si="36"/>
        <v>0</v>
      </c>
      <c r="H153">
        <f t="shared" si="36"/>
        <v>0</v>
      </c>
      <c r="I153">
        <f t="shared" si="36"/>
        <v>0</v>
      </c>
      <c r="J153">
        <f t="shared" si="36"/>
        <v>0</v>
      </c>
      <c r="K153">
        <f t="shared" si="36"/>
        <v>0</v>
      </c>
      <c r="L153">
        <f t="shared" si="36"/>
        <v>0</v>
      </c>
      <c r="M153">
        <f t="shared" si="36"/>
        <v>0</v>
      </c>
      <c r="N153">
        <f t="shared" si="36"/>
        <v>0</v>
      </c>
      <c r="O153">
        <f t="shared" si="36"/>
        <v>0</v>
      </c>
      <c r="P153">
        <f t="shared" si="36"/>
        <v>0</v>
      </c>
      <c r="Q153">
        <f t="shared" si="36"/>
        <v>0</v>
      </c>
      <c r="R153">
        <f t="shared" si="36"/>
        <v>0</v>
      </c>
      <c r="S153">
        <f t="shared" si="36"/>
        <v>0</v>
      </c>
      <c r="T153">
        <f t="shared" si="36"/>
        <v>0</v>
      </c>
      <c r="U153">
        <f t="shared" si="36"/>
        <v>0</v>
      </c>
      <c r="V153">
        <f t="shared" si="36"/>
        <v>0</v>
      </c>
      <c r="W153">
        <f t="shared" si="36"/>
        <v>0</v>
      </c>
      <c r="X153">
        <f t="shared" si="36"/>
        <v>0</v>
      </c>
      <c r="Y153">
        <f t="shared" si="36"/>
        <v>0</v>
      </c>
      <c r="Z153">
        <f t="shared" si="36"/>
        <v>0</v>
      </c>
      <c r="AA153">
        <f t="shared" si="36"/>
        <v>0</v>
      </c>
      <c r="AB153">
        <f t="shared" si="36"/>
        <v>0</v>
      </c>
      <c r="AC153">
        <f t="shared" si="36"/>
        <v>0</v>
      </c>
      <c r="AD153">
        <f t="shared" si="36"/>
        <v>0</v>
      </c>
      <c r="AE153">
        <f t="shared" si="36"/>
        <v>0</v>
      </c>
      <c r="AF153">
        <f t="shared" si="36"/>
        <v>0</v>
      </c>
      <c r="AG153">
        <f t="shared" si="36"/>
        <v>0</v>
      </c>
      <c r="AH153">
        <f t="shared" si="36"/>
        <v>0</v>
      </c>
      <c r="AI153">
        <f t="shared" si="36"/>
        <v>0</v>
      </c>
      <c r="AJ153">
        <f t="shared" si="36"/>
        <v>0</v>
      </c>
      <c r="AK153">
        <f t="shared" si="36"/>
        <v>0</v>
      </c>
      <c r="AL153">
        <f t="shared" si="36"/>
        <v>0</v>
      </c>
      <c r="AM153">
        <f t="shared" si="36"/>
        <v>0</v>
      </c>
      <c r="AN153">
        <f t="shared" si="36"/>
        <v>0</v>
      </c>
      <c r="AO153">
        <f t="shared" si="36"/>
        <v>0</v>
      </c>
      <c r="AP153">
        <f t="shared" si="36"/>
        <v>0</v>
      </c>
      <c r="AQ153">
        <f t="shared" si="36"/>
        <v>0</v>
      </c>
      <c r="AR153">
        <f t="shared" si="36"/>
        <v>0</v>
      </c>
      <c r="AS153">
        <f t="shared" si="36"/>
        <v>0</v>
      </c>
      <c r="AT153">
        <f t="shared" si="36"/>
        <v>0</v>
      </c>
      <c r="AU153">
        <f t="shared" si="36"/>
        <v>0</v>
      </c>
      <c r="AV153">
        <f t="shared" si="36"/>
        <v>0</v>
      </c>
      <c r="AW153">
        <f t="shared" si="36"/>
        <v>0</v>
      </c>
      <c r="AX153">
        <f t="shared" si="36"/>
        <v>0</v>
      </c>
      <c r="AY153">
        <f t="shared" si="36"/>
        <v>0</v>
      </c>
      <c r="AZ153">
        <f t="shared" si="36"/>
        <v>0</v>
      </c>
      <c r="BA153">
        <f t="shared" si="36"/>
        <v>0</v>
      </c>
      <c r="BB153">
        <f t="shared" si="36"/>
        <v>0</v>
      </c>
      <c r="BC153">
        <f t="shared" si="36"/>
        <v>0</v>
      </c>
    </row>
    <row r="154" spans="2:57" hidden="1">
      <c r="B154" t="s">
        <v>167</v>
      </c>
      <c r="C154">
        <f t="shared" ref="C154:BC154" si="37">COUNTIF(C4:C59, "rCar1")</f>
        <v>0</v>
      </c>
      <c r="D154">
        <f t="shared" si="37"/>
        <v>0</v>
      </c>
      <c r="E154">
        <f t="shared" si="37"/>
        <v>0</v>
      </c>
      <c r="F154">
        <f t="shared" si="37"/>
        <v>0</v>
      </c>
      <c r="G154">
        <f t="shared" si="37"/>
        <v>0</v>
      </c>
      <c r="H154">
        <f t="shared" si="37"/>
        <v>0</v>
      </c>
      <c r="I154">
        <f t="shared" si="37"/>
        <v>0</v>
      </c>
      <c r="J154">
        <f t="shared" si="37"/>
        <v>0</v>
      </c>
      <c r="K154">
        <f t="shared" si="37"/>
        <v>0</v>
      </c>
      <c r="L154">
        <f t="shared" si="37"/>
        <v>0</v>
      </c>
      <c r="M154">
        <f t="shared" si="37"/>
        <v>0</v>
      </c>
      <c r="N154">
        <f t="shared" si="37"/>
        <v>0</v>
      </c>
      <c r="O154">
        <f t="shared" si="37"/>
        <v>0</v>
      </c>
      <c r="P154">
        <f t="shared" si="37"/>
        <v>0</v>
      </c>
      <c r="Q154">
        <f t="shared" si="37"/>
        <v>0</v>
      </c>
      <c r="R154">
        <f t="shared" si="37"/>
        <v>0</v>
      </c>
      <c r="S154">
        <f t="shared" si="37"/>
        <v>0</v>
      </c>
      <c r="T154">
        <f t="shared" si="37"/>
        <v>0</v>
      </c>
      <c r="U154">
        <f t="shared" si="37"/>
        <v>0</v>
      </c>
      <c r="V154">
        <f t="shared" si="37"/>
        <v>0</v>
      </c>
      <c r="W154">
        <f t="shared" si="37"/>
        <v>0</v>
      </c>
      <c r="X154">
        <f t="shared" si="37"/>
        <v>0</v>
      </c>
      <c r="Y154">
        <f t="shared" si="37"/>
        <v>0</v>
      </c>
      <c r="Z154">
        <f t="shared" si="37"/>
        <v>0</v>
      </c>
      <c r="AA154">
        <f t="shared" si="37"/>
        <v>0</v>
      </c>
      <c r="AB154">
        <f t="shared" si="37"/>
        <v>0</v>
      </c>
      <c r="AC154">
        <f t="shared" si="37"/>
        <v>0</v>
      </c>
      <c r="AD154">
        <f t="shared" si="37"/>
        <v>0</v>
      </c>
      <c r="AE154">
        <f t="shared" si="37"/>
        <v>0</v>
      </c>
      <c r="AF154">
        <f t="shared" si="37"/>
        <v>0</v>
      </c>
      <c r="AG154">
        <f t="shared" si="37"/>
        <v>0</v>
      </c>
      <c r="AH154">
        <f t="shared" si="37"/>
        <v>0</v>
      </c>
      <c r="AI154">
        <f t="shared" si="37"/>
        <v>0</v>
      </c>
      <c r="AJ154">
        <f t="shared" si="37"/>
        <v>0</v>
      </c>
      <c r="AK154">
        <f t="shared" si="37"/>
        <v>0</v>
      </c>
      <c r="AL154">
        <f t="shared" si="37"/>
        <v>0</v>
      </c>
      <c r="AM154">
        <f t="shared" si="37"/>
        <v>0</v>
      </c>
      <c r="AN154">
        <f t="shared" si="37"/>
        <v>0</v>
      </c>
      <c r="AO154">
        <f t="shared" si="37"/>
        <v>0</v>
      </c>
      <c r="AP154">
        <f t="shared" si="37"/>
        <v>0</v>
      </c>
      <c r="AQ154">
        <f t="shared" si="37"/>
        <v>0</v>
      </c>
      <c r="AR154">
        <f t="shared" si="37"/>
        <v>0</v>
      </c>
      <c r="AS154">
        <f t="shared" si="37"/>
        <v>0</v>
      </c>
      <c r="AT154">
        <f t="shared" si="37"/>
        <v>0</v>
      </c>
      <c r="AU154">
        <f t="shared" si="37"/>
        <v>0</v>
      </c>
      <c r="AV154">
        <f t="shared" si="37"/>
        <v>0</v>
      </c>
      <c r="AW154">
        <f t="shared" si="37"/>
        <v>0</v>
      </c>
      <c r="AX154">
        <f t="shared" si="37"/>
        <v>0</v>
      </c>
      <c r="AY154">
        <f t="shared" si="37"/>
        <v>0</v>
      </c>
      <c r="AZ154">
        <f t="shared" si="37"/>
        <v>0</v>
      </c>
      <c r="BA154">
        <f t="shared" si="37"/>
        <v>0</v>
      </c>
      <c r="BB154">
        <f t="shared" si="37"/>
        <v>0</v>
      </c>
      <c r="BC154">
        <f t="shared" si="37"/>
        <v>0</v>
      </c>
      <c r="BE154">
        <f t="shared" ref="BE154:BE155" si="38">COUNTIF(C154:BC154, "0")</f>
        <v>53</v>
      </c>
    </row>
    <row r="155" spans="2:57" hidden="1">
      <c r="B155" t="s">
        <v>168</v>
      </c>
      <c r="C155">
        <f t="shared" ref="C155:BC155" si="39">COUNTIF(C4:C59, "rCar2")</f>
        <v>0</v>
      </c>
      <c r="D155">
        <f t="shared" si="39"/>
        <v>0</v>
      </c>
      <c r="E155">
        <f t="shared" si="39"/>
        <v>0</v>
      </c>
      <c r="F155">
        <f t="shared" si="39"/>
        <v>0</v>
      </c>
      <c r="G155">
        <f t="shared" si="39"/>
        <v>0</v>
      </c>
      <c r="H155">
        <f t="shared" si="39"/>
        <v>0</v>
      </c>
      <c r="I155">
        <f t="shared" si="39"/>
        <v>0</v>
      </c>
      <c r="J155">
        <f t="shared" si="39"/>
        <v>0</v>
      </c>
      <c r="K155">
        <f t="shared" si="39"/>
        <v>0</v>
      </c>
      <c r="L155">
        <f t="shared" si="39"/>
        <v>0</v>
      </c>
      <c r="M155">
        <f t="shared" si="39"/>
        <v>0</v>
      </c>
      <c r="N155">
        <f t="shared" si="39"/>
        <v>0</v>
      </c>
      <c r="O155">
        <f t="shared" si="39"/>
        <v>0</v>
      </c>
      <c r="P155">
        <f t="shared" si="39"/>
        <v>0</v>
      </c>
      <c r="Q155">
        <f t="shared" si="39"/>
        <v>0</v>
      </c>
      <c r="R155">
        <f t="shared" si="39"/>
        <v>0</v>
      </c>
      <c r="S155">
        <f t="shared" si="39"/>
        <v>0</v>
      </c>
      <c r="T155">
        <f t="shared" si="39"/>
        <v>0</v>
      </c>
      <c r="U155">
        <f t="shared" si="39"/>
        <v>0</v>
      </c>
      <c r="V155">
        <f t="shared" si="39"/>
        <v>0</v>
      </c>
      <c r="W155">
        <f t="shared" si="39"/>
        <v>0</v>
      </c>
      <c r="X155">
        <f t="shared" si="39"/>
        <v>0</v>
      </c>
      <c r="Y155">
        <f t="shared" si="39"/>
        <v>0</v>
      </c>
      <c r="Z155">
        <f t="shared" si="39"/>
        <v>0</v>
      </c>
      <c r="AA155">
        <f t="shared" si="39"/>
        <v>0</v>
      </c>
      <c r="AB155">
        <f t="shared" si="39"/>
        <v>0</v>
      </c>
      <c r="AC155">
        <f t="shared" si="39"/>
        <v>0</v>
      </c>
      <c r="AD155">
        <f t="shared" si="39"/>
        <v>0</v>
      </c>
      <c r="AE155">
        <f t="shared" si="39"/>
        <v>0</v>
      </c>
      <c r="AF155">
        <f t="shared" si="39"/>
        <v>0</v>
      </c>
      <c r="AG155">
        <f t="shared" si="39"/>
        <v>0</v>
      </c>
      <c r="AH155">
        <f t="shared" si="39"/>
        <v>0</v>
      </c>
      <c r="AI155">
        <f t="shared" si="39"/>
        <v>0</v>
      </c>
      <c r="AJ155">
        <f t="shared" si="39"/>
        <v>0</v>
      </c>
      <c r="AK155">
        <f t="shared" si="39"/>
        <v>0</v>
      </c>
      <c r="AL155">
        <f t="shared" si="39"/>
        <v>0</v>
      </c>
      <c r="AM155">
        <f t="shared" si="39"/>
        <v>0</v>
      </c>
      <c r="AN155">
        <f t="shared" si="39"/>
        <v>0</v>
      </c>
      <c r="AO155">
        <f t="shared" si="39"/>
        <v>0</v>
      </c>
      <c r="AP155">
        <f t="shared" si="39"/>
        <v>0</v>
      </c>
      <c r="AQ155">
        <f t="shared" si="39"/>
        <v>0</v>
      </c>
      <c r="AR155">
        <f t="shared" si="39"/>
        <v>0</v>
      </c>
      <c r="AS155">
        <f t="shared" si="39"/>
        <v>0</v>
      </c>
      <c r="AT155">
        <f t="shared" si="39"/>
        <v>0</v>
      </c>
      <c r="AU155">
        <f t="shared" si="39"/>
        <v>0</v>
      </c>
      <c r="AV155">
        <f t="shared" si="39"/>
        <v>0</v>
      </c>
      <c r="AW155">
        <f t="shared" si="39"/>
        <v>0</v>
      </c>
      <c r="AX155">
        <f t="shared" si="39"/>
        <v>0</v>
      </c>
      <c r="AY155">
        <f t="shared" si="39"/>
        <v>0</v>
      </c>
      <c r="AZ155">
        <f t="shared" si="39"/>
        <v>0</v>
      </c>
      <c r="BA155">
        <f t="shared" si="39"/>
        <v>0</v>
      </c>
      <c r="BB155">
        <f t="shared" si="39"/>
        <v>0</v>
      </c>
      <c r="BC155">
        <f t="shared" si="39"/>
        <v>0</v>
      </c>
      <c r="BE155">
        <f t="shared" si="38"/>
        <v>53</v>
      </c>
    </row>
    <row r="156" spans="2:57" hidden="1"/>
    <row r="157" spans="2:57" hidden="1">
      <c r="B157" s="8" t="s">
        <v>137</v>
      </c>
      <c r="C157">
        <f t="shared" ref="C157:BC157" si="40">SUM(C158:C159)</f>
        <v>0</v>
      </c>
      <c r="D157">
        <f t="shared" si="40"/>
        <v>0</v>
      </c>
      <c r="E157">
        <f t="shared" si="40"/>
        <v>0</v>
      </c>
      <c r="F157">
        <f t="shared" si="40"/>
        <v>0</v>
      </c>
      <c r="G157">
        <f t="shared" si="40"/>
        <v>0</v>
      </c>
      <c r="H157">
        <f t="shared" si="40"/>
        <v>0</v>
      </c>
      <c r="I157">
        <f t="shared" si="40"/>
        <v>0</v>
      </c>
      <c r="J157">
        <f t="shared" si="40"/>
        <v>0</v>
      </c>
      <c r="K157">
        <f t="shared" si="40"/>
        <v>0</v>
      </c>
      <c r="L157">
        <f t="shared" si="40"/>
        <v>0</v>
      </c>
      <c r="M157">
        <f t="shared" si="40"/>
        <v>0</v>
      </c>
      <c r="N157">
        <f t="shared" si="40"/>
        <v>0</v>
      </c>
      <c r="O157">
        <f t="shared" si="40"/>
        <v>0</v>
      </c>
      <c r="P157">
        <f t="shared" si="40"/>
        <v>0</v>
      </c>
      <c r="Q157">
        <f t="shared" si="40"/>
        <v>0</v>
      </c>
      <c r="R157">
        <f t="shared" si="40"/>
        <v>0</v>
      </c>
      <c r="S157">
        <f t="shared" si="40"/>
        <v>0</v>
      </c>
      <c r="T157">
        <f t="shared" si="40"/>
        <v>0</v>
      </c>
      <c r="U157">
        <f t="shared" si="40"/>
        <v>0</v>
      </c>
      <c r="V157">
        <f t="shared" si="40"/>
        <v>0</v>
      </c>
      <c r="W157">
        <f t="shared" si="40"/>
        <v>0</v>
      </c>
      <c r="X157">
        <f t="shared" si="40"/>
        <v>0</v>
      </c>
      <c r="Y157">
        <f t="shared" si="40"/>
        <v>0</v>
      </c>
      <c r="Z157">
        <f t="shared" si="40"/>
        <v>0</v>
      </c>
      <c r="AA157">
        <f t="shared" si="40"/>
        <v>0</v>
      </c>
      <c r="AB157">
        <f t="shared" si="40"/>
        <v>0</v>
      </c>
      <c r="AC157">
        <f t="shared" si="40"/>
        <v>0</v>
      </c>
      <c r="AD157">
        <f t="shared" si="40"/>
        <v>0</v>
      </c>
      <c r="AE157">
        <f t="shared" si="40"/>
        <v>0</v>
      </c>
      <c r="AF157">
        <f t="shared" si="40"/>
        <v>0</v>
      </c>
      <c r="AG157">
        <f t="shared" si="40"/>
        <v>0</v>
      </c>
      <c r="AH157">
        <f t="shared" si="40"/>
        <v>0</v>
      </c>
      <c r="AI157">
        <f t="shared" si="40"/>
        <v>0</v>
      </c>
      <c r="AJ157">
        <f t="shared" si="40"/>
        <v>0</v>
      </c>
      <c r="AK157">
        <f t="shared" si="40"/>
        <v>0</v>
      </c>
      <c r="AL157">
        <f t="shared" si="40"/>
        <v>0</v>
      </c>
      <c r="AM157">
        <f t="shared" si="40"/>
        <v>0</v>
      </c>
      <c r="AN157">
        <f t="shared" si="40"/>
        <v>0</v>
      </c>
      <c r="AO157">
        <f t="shared" si="40"/>
        <v>0</v>
      </c>
      <c r="AP157">
        <f t="shared" si="40"/>
        <v>0</v>
      </c>
      <c r="AQ157">
        <f t="shared" si="40"/>
        <v>0</v>
      </c>
      <c r="AR157">
        <f t="shared" si="40"/>
        <v>0</v>
      </c>
      <c r="AS157">
        <f t="shared" si="40"/>
        <v>0</v>
      </c>
      <c r="AT157">
        <f t="shared" si="40"/>
        <v>0</v>
      </c>
      <c r="AU157">
        <f t="shared" si="40"/>
        <v>0</v>
      </c>
      <c r="AV157">
        <f t="shared" si="40"/>
        <v>0</v>
      </c>
      <c r="AW157">
        <f t="shared" si="40"/>
        <v>0</v>
      </c>
      <c r="AX157">
        <f t="shared" si="40"/>
        <v>0</v>
      </c>
      <c r="AY157">
        <f t="shared" si="40"/>
        <v>0</v>
      </c>
      <c r="AZ157">
        <f t="shared" si="40"/>
        <v>0</v>
      </c>
      <c r="BA157">
        <f t="shared" si="40"/>
        <v>0</v>
      </c>
      <c r="BB157">
        <f t="shared" si="40"/>
        <v>0</v>
      </c>
      <c r="BC157">
        <f t="shared" si="40"/>
        <v>0</v>
      </c>
    </row>
    <row r="158" spans="2:57" hidden="1">
      <c r="B158" t="s">
        <v>169</v>
      </c>
      <c r="C158">
        <f t="shared" ref="C158:BC158" si="41">COUNTIF(C4:C59, "rMICU1")</f>
        <v>0</v>
      </c>
      <c r="D158">
        <f t="shared" si="41"/>
        <v>0</v>
      </c>
      <c r="E158">
        <f t="shared" si="41"/>
        <v>0</v>
      </c>
      <c r="F158">
        <f t="shared" si="41"/>
        <v>0</v>
      </c>
      <c r="G158">
        <f t="shared" si="41"/>
        <v>0</v>
      </c>
      <c r="H158">
        <f t="shared" si="41"/>
        <v>0</v>
      </c>
      <c r="I158">
        <f t="shared" si="41"/>
        <v>0</v>
      </c>
      <c r="J158">
        <f t="shared" si="41"/>
        <v>0</v>
      </c>
      <c r="K158">
        <f t="shared" si="41"/>
        <v>0</v>
      </c>
      <c r="L158">
        <f t="shared" si="41"/>
        <v>0</v>
      </c>
      <c r="M158">
        <f t="shared" si="41"/>
        <v>0</v>
      </c>
      <c r="N158">
        <f t="shared" si="41"/>
        <v>0</v>
      </c>
      <c r="O158">
        <f t="shared" si="41"/>
        <v>0</v>
      </c>
      <c r="P158">
        <f t="shared" si="41"/>
        <v>0</v>
      </c>
      <c r="Q158">
        <f t="shared" si="41"/>
        <v>0</v>
      </c>
      <c r="R158">
        <f t="shared" si="41"/>
        <v>0</v>
      </c>
      <c r="S158">
        <f t="shared" si="41"/>
        <v>0</v>
      </c>
      <c r="T158">
        <f t="shared" si="41"/>
        <v>0</v>
      </c>
      <c r="U158">
        <f t="shared" si="41"/>
        <v>0</v>
      </c>
      <c r="V158">
        <f t="shared" si="41"/>
        <v>0</v>
      </c>
      <c r="W158">
        <f t="shared" si="41"/>
        <v>0</v>
      </c>
      <c r="X158">
        <f t="shared" si="41"/>
        <v>0</v>
      </c>
      <c r="Y158">
        <f t="shared" si="41"/>
        <v>0</v>
      </c>
      <c r="Z158">
        <f t="shared" si="41"/>
        <v>0</v>
      </c>
      <c r="AA158">
        <f t="shared" si="41"/>
        <v>0</v>
      </c>
      <c r="AB158">
        <f t="shared" si="41"/>
        <v>0</v>
      </c>
      <c r="AC158">
        <f t="shared" si="41"/>
        <v>0</v>
      </c>
      <c r="AD158">
        <f t="shared" si="41"/>
        <v>0</v>
      </c>
      <c r="AE158">
        <f t="shared" si="41"/>
        <v>0</v>
      </c>
      <c r="AF158">
        <f t="shared" si="41"/>
        <v>0</v>
      </c>
      <c r="AG158">
        <f t="shared" si="41"/>
        <v>0</v>
      </c>
      <c r="AH158">
        <f t="shared" si="41"/>
        <v>0</v>
      </c>
      <c r="AI158">
        <f t="shared" si="41"/>
        <v>0</v>
      </c>
      <c r="AJ158">
        <f t="shared" si="41"/>
        <v>0</v>
      </c>
      <c r="AK158">
        <f t="shared" si="41"/>
        <v>0</v>
      </c>
      <c r="AL158">
        <f t="shared" si="41"/>
        <v>0</v>
      </c>
      <c r="AM158">
        <f t="shared" si="41"/>
        <v>0</v>
      </c>
      <c r="AN158">
        <f t="shared" si="41"/>
        <v>0</v>
      </c>
      <c r="AO158">
        <f t="shared" si="41"/>
        <v>0</v>
      </c>
      <c r="AP158">
        <f t="shared" si="41"/>
        <v>0</v>
      </c>
      <c r="AQ158">
        <f t="shared" si="41"/>
        <v>0</v>
      </c>
      <c r="AR158">
        <f t="shared" si="41"/>
        <v>0</v>
      </c>
      <c r="AS158">
        <f t="shared" si="41"/>
        <v>0</v>
      </c>
      <c r="AT158">
        <f t="shared" si="41"/>
        <v>0</v>
      </c>
      <c r="AU158">
        <f t="shared" si="41"/>
        <v>0</v>
      </c>
      <c r="AV158">
        <f t="shared" si="41"/>
        <v>0</v>
      </c>
      <c r="AW158">
        <f t="shared" si="41"/>
        <v>0</v>
      </c>
      <c r="AX158">
        <f t="shared" si="41"/>
        <v>0</v>
      </c>
      <c r="AY158">
        <f t="shared" si="41"/>
        <v>0</v>
      </c>
      <c r="AZ158">
        <f t="shared" si="41"/>
        <v>0</v>
      </c>
      <c r="BA158">
        <f t="shared" si="41"/>
        <v>0</v>
      </c>
      <c r="BB158">
        <f t="shared" si="41"/>
        <v>0</v>
      </c>
      <c r="BC158">
        <f t="shared" si="41"/>
        <v>0</v>
      </c>
      <c r="BE158">
        <f t="shared" ref="BE158:BE159" si="42">COUNTIF(C158:BC158, "0")</f>
        <v>53</v>
      </c>
    </row>
    <row r="159" spans="2:57" hidden="1">
      <c r="B159" t="s">
        <v>170</v>
      </c>
      <c r="C159">
        <f t="shared" ref="C159:BC159" si="43">COUNTIF(C4:C59, "bron2")</f>
        <v>0</v>
      </c>
      <c r="D159">
        <f t="shared" si="43"/>
        <v>0</v>
      </c>
      <c r="E159">
        <f t="shared" si="43"/>
        <v>0</v>
      </c>
      <c r="F159">
        <f t="shared" si="43"/>
        <v>0</v>
      </c>
      <c r="G159">
        <f t="shared" si="43"/>
        <v>0</v>
      </c>
      <c r="H159">
        <f t="shared" si="43"/>
        <v>0</v>
      </c>
      <c r="I159">
        <f t="shared" si="43"/>
        <v>0</v>
      </c>
      <c r="J159">
        <f t="shared" si="43"/>
        <v>0</v>
      </c>
      <c r="K159">
        <f t="shared" si="43"/>
        <v>0</v>
      </c>
      <c r="L159">
        <f t="shared" si="43"/>
        <v>0</v>
      </c>
      <c r="M159">
        <f t="shared" si="43"/>
        <v>0</v>
      </c>
      <c r="N159">
        <f t="shared" si="43"/>
        <v>0</v>
      </c>
      <c r="O159">
        <f t="shared" si="43"/>
        <v>0</v>
      </c>
      <c r="P159">
        <f t="shared" si="43"/>
        <v>0</v>
      </c>
      <c r="Q159">
        <f t="shared" si="43"/>
        <v>0</v>
      </c>
      <c r="R159">
        <f t="shared" si="43"/>
        <v>0</v>
      </c>
      <c r="S159">
        <f t="shared" si="43"/>
        <v>0</v>
      </c>
      <c r="T159">
        <f t="shared" si="43"/>
        <v>0</v>
      </c>
      <c r="U159">
        <f t="shared" si="43"/>
        <v>0</v>
      </c>
      <c r="V159">
        <f t="shared" si="43"/>
        <v>0</v>
      </c>
      <c r="W159">
        <f t="shared" si="43"/>
        <v>0</v>
      </c>
      <c r="X159">
        <f t="shared" si="43"/>
        <v>0</v>
      </c>
      <c r="Y159">
        <f t="shared" si="43"/>
        <v>0</v>
      </c>
      <c r="Z159">
        <f t="shared" si="43"/>
        <v>0</v>
      </c>
      <c r="AA159">
        <f t="shared" si="43"/>
        <v>0</v>
      </c>
      <c r="AB159">
        <f t="shared" si="43"/>
        <v>0</v>
      </c>
      <c r="AC159">
        <f t="shared" si="43"/>
        <v>0</v>
      </c>
      <c r="AD159">
        <f t="shared" si="43"/>
        <v>0</v>
      </c>
      <c r="AE159">
        <f t="shared" si="43"/>
        <v>0</v>
      </c>
      <c r="AF159">
        <f t="shared" si="43"/>
        <v>0</v>
      </c>
      <c r="AG159">
        <f t="shared" si="43"/>
        <v>0</v>
      </c>
      <c r="AH159">
        <f t="shared" si="43"/>
        <v>0</v>
      </c>
      <c r="AI159">
        <f t="shared" si="43"/>
        <v>0</v>
      </c>
      <c r="AJ159">
        <f t="shared" si="43"/>
        <v>0</v>
      </c>
      <c r="AK159">
        <f t="shared" si="43"/>
        <v>0</v>
      </c>
      <c r="AL159">
        <f t="shared" si="43"/>
        <v>0</v>
      </c>
      <c r="AM159">
        <f t="shared" si="43"/>
        <v>0</v>
      </c>
      <c r="AN159">
        <f t="shared" si="43"/>
        <v>0</v>
      </c>
      <c r="AO159">
        <f t="shared" si="43"/>
        <v>0</v>
      </c>
      <c r="AP159">
        <f t="shared" si="43"/>
        <v>0</v>
      </c>
      <c r="AQ159">
        <f t="shared" si="43"/>
        <v>0</v>
      </c>
      <c r="AR159">
        <f t="shared" si="43"/>
        <v>0</v>
      </c>
      <c r="AS159">
        <f t="shared" si="43"/>
        <v>0</v>
      </c>
      <c r="AT159">
        <f t="shared" si="43"/>
        <v>0</v>
      </c>
      <c r="AU159">
        <f t="shared" si="43"/>
        <v>0</v>
      </c>
      <c r="AV159">
        <f t="shared" si="43"/>
        <v>0</v>
      </c>
      <c r="AW159">
        <f t="shared" si="43"/>
        <v>0</v>
      </c>
      <c r="AX159">
        <f t="shared" si="43"/>
        <v>0</v>
      </c>
      <c r="AY159">
        <f t="shared" si="43"/>
        <v>0</v>
      </c>
      <c r="AZ159">
        <f t="shared" si="43"/>
        <v>0</v>
      </c>
      <c r="BA159">
        <f t="shared" si="43"/>
        <v>0</v>
      </c>
      <c r="BB159">
        <f t="shared" si="43"/>
        <v>0</v>
      </c>
      <c r="BC159">
        <f t="shared" si="43"/>
        <v>0</v>
      </c>
      <c r="BE159">
        <f t="shared" si="42"/>
        <v>53</v>
      </c>
    </row>
    <row r="160" spans="2:57" hidden="1"/>
    <row r="161" spans="2:57" hidden="1">
      <c r="B161" s="8" t="s">
        <v>171</v>
      </c>
      <c r="C161">
        <f t="shared" ref="C161:BC161" si="44">COUNTIF(C4:C59, "diamond")</f>
        <v>0</v>
      </c>
      <c r="D161">
        <f t="shared" si="44"/>
        <v>0</v>
      </c>
      <c r="E161">
        <f t="shared" si="44"/>
        <v>0</v>
      </c>
      <c r="F161">
        <f t="shared" si="44"/>
        <v>0</v>
      </c>
      <c r="G161">
        <f t="shared" si="44"/>
        <v>0</v>
      </c>
      <c r="H161">
        <f t="shared" si="44"/>
        <v>0</v>
      </c>
      <c r="I161">
        <f t="shared" si="44"/>
        <v>0</v>
      </c>
      <c r="J161">
        <f t="shared" si="44"/>
        <v>0</v>
      </c>
      <c r="K161">
        <f t="shared" si="44"/>
        <v>0</v>
      </c>
      <c r="L161">
        <f t="shared" si="44"/>
        <v>0</v>
      </c>
      <c r="M161">
        <f t="shared" si="44"/>
        <v>0</v>
      </c>
      <c r="N161">
        <f t="shared" si="44"/>
        <v>0</v>
      </c>
      <c r="O161">
        <f t="shared" si="44"/>
        <v>0</v>
      </c>
      <c r="P161">
        <f t="shared" si="44"/>
        <v>0</v>
      </c>
      <c r="Q161">
        <f t="shared" si="44"/>
        <v>0</v>
      </c>
      <c r="R161">
        <f t="shared" si="44"/>
        <v>0</v>
      </c>
      <c r="S161">
        <f t="shared" si="44"/>
        <v>0</v>
      </c>
      <c r="T161">
        <f t="shared" si="44"/>
        <v>0</v>
      </c>
      <c r="U161">
        <f t="shared" si="44"/>
        <v>0</v>
      </c>
      <c r="V161">
        <f t="shared" si="44"/>
        <v>0</v>
      </c>
      <c r="W161">
        <f t="shared" si="44"/>
        <v>0</v>
      </c>
      <c r="X161">
        <f t="shared" si="44"/>
        <v>0</v>
      </c>
      <c r="Y161">
        <f t="shared" si="44"/>
        <v>0</v>
      </c>
      <c r="Z161">
        <f t="shared" si="44"/>
        <v>0</v>
      </c>
      <c r="AA161">
        <f t="shared" si="44"/>
        <v>0</v>
      </c>
      <c r="AB161">
        <f t="shared" si="44"/>
        <v>0</v>
      </c>
      <c r="AC161">
        <f t="shared" si="44"/>
        <v>0</v>
      </c>
      <c r="AD161">
        <f t="shared" si="44"/>
        <v>0</v>
      </c>
      <c r="AE161">
        <f t="shared" si="44"/>
        <v>0</v>
      </c>
      <c r="AF161">
        <f t="shared" si="44"/>
        <v>0</v>
      </c>
      <c r="AG161">
        <f t="shared" si="44"/>
        <v>0</v>
      </c>
      <c r="AH161">
        <f t="shared" si="44"/>
        <v>0</v>
      </c>
      <c r="AI161">
        <f t="shared" si="44"/>
        <v>0</v>
      </c>
      <c r="AJ161">
        <f t="shared" si="44"/>
        <v>0</v>
      </c>
      <c r="AK161">
        <f t="shared" si="44"/>
        <v>0</v>
      </c>
      <c r="AL161">
        <f t="shared" si="44"/>
        <v>0</v>
      </c>
      <c r="AM161">
        <f t="shared" si="44"/>
        <v>0</v>
      </c>
      <c r="AN161">
        <f t="shared" si="44"/>
        <v>0</v>
      </c>
      <c r="AO161">
        <f t="shared" si="44"/>
        <v>0</v>
      </c>
      <c r="AP161">
        <f t="shared" si="44"/>
        <v>0</v>
      </c>
      <c r="AQ161">
        <f t="shared" si="44"/>
        <v>0</v>
      </c>
      <c r="AR161">
        <f t="shared" si="44"/>
        <v>0</v>
      </c>
      <c r="AS161">
        <f t="shared" si="44"/>
        <v>0</v>
      </c>
      <c r="AT161">
        <f t="shared" si="44"/>
        <v>0</v>
      </c>
      <c r="AU161">
        <f t="shared" si="44"/>
        <v>0</v>
      </c>
      <c r="AV161">
        <f t="shared" si="44"/>
        <v>0</v>
      </c>
      <c r="AW161">
        <f t="shared" si="44"/>
        <v>0</v>
      </c>
      <c r="AX161">
        <f t="shared" si="44"/>
        <v>0</v>
      </c>
      <c r="AY161">
        <f t="shared" si="44"/>
        <v>0</v>
      </c>
      <c r="AZ161">
        <f t="shared" si="44"/>
        <v>0</v>
      </c>
      <c r="BA161">
        <f t="shared" si="44"/>
        <v>0</v>
      </c>
      <c r="BB161">
        <f t="shared" si="44"/>
        <v>0</v>
      </c>
      <c r="BC161">
        <f t="shared" si="44"/>
        <v>0</v>
      </c>
      <c r="BE161">
        <f t="shared" ref="BE161:BE162" si="45">COUNTIF(C161:BC161, "0")</f>
        <v>53</v>
      </c>
    </row>
    <row r="162" spans="2:57" hidden="1">
      <c r="B162" s="8" t="s">
        <v>172</v>
      </c>
      <c r="C162">
        <f t="shared" ref="C162:BC162" si="46">COUNTIF(C4:C59, "gold")</f>
        <v>0</v>
      </c>
      <c r="D162">
        <f t="shared" si="46"/>
        <v>0</v>
      </c>
      <c r="E162">
        <f t="shared" si="46"/>
        <v>0</v>
      </c>
      <c r="F162">
        <f t="shared" si="46"/>
        <v>0</v>
      </c>
      <c r="G162">
        <f t="shared" si="46"/>
        <v>0</v>
      </c>
      <c r="H162">
        <f t="shared" si="46"/>
        <v>0</v>
      </c>
      <c r="I162">
        <f t="shared" si="46"/>
        <v>0</v>
      </c>
      <c r="J162">
        <f t="shared" si="46"/>
        <v>0</v>
      </c>
      <c r="K162">
        <f t="shared" si="46"/>
        <v>0</v>
      </c>
      <c r="L162">
        <f t="shared" si="46"/>
        <v>0</v>
      </c>
      <c r="M162">
        <f t="shared" si="46"/>
        <v>0</v>
      </c>
      <c r="N162">
        <f t="shared" si="46"/>
        <v>0</v>
      </c>
      <c r="O162">
        <f t="shared" si="46"/>
        <v>0</v>
      </c>
      <c r="P162">
        <f t="shared" si="46"/>
        <v>0</v>
      </c>
      <c r="Q162">
        <f t="shared" si="46"/>
        <v>0</v>
      </c>
      <c r="R162">
        <f t="shared" si="46"/>
        <v>0</v>
      </c>
      <c r="S162">
        <f t="shared" si="46"/>
        <v>0</v>
      </c>
      <c r="T162">
        <f t="shared" si="46"/>
        <v>0</v>
      </c>
      <c r="U162">
        <f t="shared" si="46"/>
        <v>0</v>
      </c>
      <c r="V162">
        <f t="shared" si="46"/>
        <v>0</v>
      </c>
      <c r="W162">
        <f t="shared" si="46"/>
        <v>0</v>
      </c>
      <c r="X162">
        <f t="shared" si="46"/>
        <v>0</v>
      </c>
      <c r="Y162">
        <f t="shared" si="46"/>
        <v>0</v>
      </c>
      <c r="Z162">
        <f t="shared" si="46"/>
        <v>0</v>
      </c>
      <c r="AA162">
        <f t="shared" si="46"/>
        <v>0</v>
      </c>
      <c r="AB162">
        <f t="shared" si="46"/>
        <v>0</v>
      </c>
      <c r="AC162">
        <f t="shared" si="46"/>
        <v>0</v>
      </c>
      <c r="AD162">
        <f t="shared" si="46"/>
        <v>0</v>
      </c>
      <c r="AE162">
        <f t="shared" si="46"/>
        <v>0</v>
      </c>
      <c r="AF162">
        <f t="shared" si="46"/>
        <v>0</v>
      </c>
      <c r="AG162">
        <f t="shared" si="46"/>
        <v>0</v>
      </c>
      <c r="AH162">
        <f t="shared" si="46"/>
        <v>0</v>
      </c>
      <c r="AI162">
        <f t="shared" si="46"/>
        <v>0</v>
      </c>
      <c r="AJ162">
        <f t="shared" si="46"/>
        <v>0</v>
      </c>
      <c r="AK162">
        <f t="shared" si="46"/>
        <v>0</v>
      </c>
      <c r="AL162">
        <f t="shared" si="46"/>
        <v>0</v>
      </c>
      <c r="AM162">
        <f t="shared" si="46"/>
        <v>0</v>
      </c>
      <c r="AN162">
        <f t="shared" si="46"/>
        <v>0</v>
      </c>
      <c r="AO162">
        <f t="shared" si="46"/>
        <v>0</v>
      </c>
      <c r="AP162">
        <f t="shared" si="46"/>
        <v>0</v>
      </c>
      <c r="AQ162">
        <f t="shared" si="46"/>
        <v>0</v>
      </c>
      <c r="AR162">
        <f t="shared" si="46"/>
        <v>0</v>
      </c>
      <c r="AS162">
        <f t="shared" si="46"/>
        <v>0</v>
      </c>
      <c r="AT162">
        <f t="shared" si="46"/>
        <v>0</v>
      </c>
      <c r="AU162">
        <f t="shared" si="46"/>
        <v>0</v>
      </c>
      <c r="AV162">
        <f t="shared" si="46"/>
        <v>0</v>
      </c>
      <c r="AW162">
        <f t="shared" si="46"/>
        <v>0</v>
      </c>
      <c r="AX162">
        <f t="shared" si="46"/>
        <v>0</v>
      </c>
      <c r="AY162">
        <f t="shared" si="46"/>
        <v>0</v>
      </c>
      <c r="AZ162">
        <f t="shared" si="46"/>
        <v>0</v>
      </c>
      <c r="BA162">
        <f t="shared" si="46"/>
        <v>0</v>
      </c>
      <c r="BB162">
        <f t="shared" si="46"/>
        <v>0</v>
      </c>
      <c r="BC162">
        <f t="shared" si="46"/>
        <v>0</v>
      </c>
      <c r="BE162">
        <f t="shared" si="45"/>
        <v>53</v>
      </c>
    </row>
    <row r="163" spans="2:57" hidden="1"/>
    <row r="164" spans="2:57" hidden="1">
      <c r="B164" s="8" t="s">
        <v>129</v>
      </c>
      <c r="C164">
        <f t="shared" ref="C164:BC164" si="47">SUM(C165:C169)</f>
        <v>0</v>
      </c>
      <c r="D164">
        <f t="shared" si="47"/>
        <v>0</v>
      </c>
      <c r="E164">
        <f t="shared" si="47"/>
        <v>0</v>
      </c>
      <c r="F164">
        <f t="shared" si="47"/>
        <v>0</v>
      </c>
      <c r="G164">
        <f t="shared" si="47"/>
        <v>0</v>
      </c>
      <c r="H164">
        <f t="shared" si="47"/>
        <v>0</v>
      </c>
      <c r="I164">
        <f t="shared" si="47"/>
        <v>0</v>
      </c>
      <c r="J164">
        <f t="shared" si="47"/>
        <v>0</v>
      </c>
      <c r="K164">
        <f t="shared" si="47"/>
        <v>0</v>
      </c>
      <c r="L164">
        <f t="shared" si="47"/>
        <v>0</v>
      </c>
      <c r="M164">
        <f t="shared" si="47"/>
        <v>0</v>
      </c>
      <c r="N164">
        <f t="shared" si="47"/>
        <v>0</v>
      </c>
      <c r="O164">
        <f t="shared" si="47"/>
        <v>0</v>
      </c>
      <c r="P164">
        <f t="shared" si="47"/>
        <v>0</v>
      </c>
      <c r="Q164">
        <f t="shared" si="47"/>
        <v>0</v>
      </c>
      <c r="R164">
        <f t="shared" si="47"/>
        <v>0</v>
      </c>
      <c r="S164">
        <f t="shared" si="47"/>
        <v>0</v>
      </c>
      <c r="T164">
        <f t="shared" si="47"/>
        <v>0</v>
      </c>
      <c r="U164">
        <f t="shared" si="47"/>
        <v>0</v>
      </c>
      <c r="V164">
        <f t="shared" si="47"/>
        <v>0</v>
      </c>
      <c r="W164">
        <f t="shared" si="47"/>
        <v>0</v>
      </c>
      <c r="X164">
        <f t="shared" si="47"/>
        <v>0</v>
      </c>
      <c r="Y164">
        <f t="shared" si="47"/>
        <v>0</v>
      </c>
      <c r="Z164">
        <f t="shared" si="47"/>
        <v>0</v>
      </c>
      <c r="AA164">
        <f t="shared" si="47"/>
        <v>0</v>
      </c>
      <c r="AB164">
        <f t="shared" si="47"/>
        <v>0</v>
      </c>
      <c r="AC164">
        <f t="shared" si="47"/>
        <v>0</v>
      </c>
      <c r="AD164">
        <f t="shared" si="47"/>
        <v>0</v>
      </c>
      <c r="AE164">
        <f t="shared" si="47"/>
        <v>0</v>
      </c>
      <c r="AF164">
        <f t="shared" si="47"/>
        <v>0</v>
      </c>
      <c r="AG164">
        <f t="shared" si="47"/>
        <v>0</v>
      </c>
      <c r="AH164">
        <f t="shared" si="47"/>
        <v>0</v>
      </c>
      <c r="AI164">
        <f t="shared" si="47"/>
        <v>0</v>
      </c>
      <c r="AJ164">
        <f t="shared" si="47"/>
        <v>0</v>
      </c>
      <c r="AK164">
        <f t="shared" si="47"/>
        <v>0</v>
      </c>
      <c r="AL164">
        <f t="shared" si="47"/>
        <v>0</v>
      </c>
      <c r="AM164">
        <f t="shared" si="47"/>
        <v>0</v>
      </c>
      <c r="AN164">
        <f t="shared" si="47"/>
        <v>0</v>
      </c>
      <c r="AO164">
        <f t="shared" si="47"/>
        <v>0</v>
      </c>
      <c r="AP164">
        <f t="shared" si="47"/>
        <v>0</v>
      </c>
      <c r="AQ164">
        <f t="shared" si="47"/>
        <v>0</v>
      </c>
      <c r="AR164">
        <f t="shared" si="47"/>
        <v>0</v>
      </c>
      <c r="AS164">
        <f t="shared" si="47"/>
        <v>0</v>
      </c>
      <c r="AT164">
        <f t="shared" si="47"/>
        <v>0</v>
      </c>
      <c r="AU164">
        <f t="shared" si="47"/>
        <v>0</v>
      </c>
      <c r="AV164">
        <f t="shared" si="47"/>
        <v>0</v>
      </c>
      <c r="AW164">
        <f t="shared" si="47"/>
        <v>0</v>
      </c>
      <c r="AX164">
        <f t="shared" si="47"/>
        <v>0</v>
      </c>
      <c r="AY164">
        <f t="shared" si="47"/>
        <v>0</v>
      </c>
      <c r="AZ164">
        <f t="shared" si="47"/>
        <v>0</v>
      </c>
      <c r="BA164">
        <f t="shared" si="47"/>
        <v>0</v>
      </c>
      <c r="BB164">
        <f t="shared" si="47"/>
        <v>0</v>
      </c>
      <c r="BC164">
        <f t="shared" si="47"/>
        <v>0</v>
      </c>
    </row>
    <row r="165" spans="2:57" hidden="1">
      <c r="B165" s="9" t="s">
        <v>173</v>
      </c>
      <c r="C165">
        <f t="shared" ref="C165:BC165" si="48">COUNTIF(C4:C59, "rNF1")</f>
        <v>0</v>
      </c>
      <c r="D165">
        <f t="shared" si="48"/>
        <v>0</v>
      </c>
      <c r="E165">
        <f t="shared" si="48"/>
        <v>0</v>
      </c>
      <c r="F165">
        <f t="shared" si="48"/>
        <v>0</v>
      </c>
      <c r="G165">
        <f t="shared" si="48"/>
        <v>0</v>
      </c>
      <c r="H165">
        <f t="shared" si="48"/>
        <v>0</v>
      </c>
      <c r="I165">
        <f t="shared" si="48"/>
        <v>0</v>
      </c>
      <c r="J165">
        <f t="shared" si="48"/>
        <v>0</v>
      </c>
      <c r="K165">
        <f t="shared" si="48"/>
        <v>0</v>
      </c>
      <c r="L165">
        <f t="shared" si="48"/>
        <v>0</v>
      </c>
      <c r="M165">
        <f t="shared" si="48"/>
        <v>0</v>
      </c>
      <c r="N165">
        <f t="shared" si="48"/>
        <v>0</v>
      </c>
      <c r="O165">
        <f t="shared" si="48"/>
        <v>0</v>
      </c>
      <c r="P165">
        <f t="shared" si="48"/>
        <v>0</v>
      </c>
      <c r="Q165">
        <f t="shared" si="48"/>
        <v>0</v>
      </c>
      <c r="R165">
        <f t="shared" si="48"/>
        <v>0</v>
      </c>
      <c r="S165">
        <f t="shared" si="48"/>
        <v>0</v>
      </c>
      <c r="T165">
        <f t="shared" si="48"/>
        <v>0</v>
      </c>
      <c r="U165">
        <f t="shared" si="48"/>
        <v>0</v>
      </c>
      <c r="V165">
        <f t="shared" si="48"/>
        <v>0</v>
      </c>
      <c r="W165">
        <f t="shared" si="48"/>
        <v>0</v>
      </c>
      <c r="X165">
        <f t="shared" si="48"/>
        <v>0</v>
      </c>
      <c r="Y165">
        <f t="shared" si="48"/>
        <v>0</v>
      </c>
      <c r="Z165">
        <f t="shared" si="48"/>
        <v>0</v>
      </c>
      <c r="AA165">
        <f t="shared" si="48"/>
        <v>0</v>
      </c>
      <c r="AB165">
        <f t="shared" si="48"/>
        <v>0</v>
      </c>
      <c r="AC165">
        <f t="shared" si="48"/>
        <v>0</v>
      </c>
      <c r="AD165">
        <f t="shared" si="48"/>
        <v>0</v>
      </c>
      <c r="AE165">
        <f t="shared" si="48"/>
        <v>0</v>
      </c>
      <c r="AF165">
        <f t="shared" si="48"/>
        <v>0</v>
      </c>
      <c r="AG165">
        <f t="shared" si="48"/>
        <v>0</v>
      </c>
      <c r="AH165">
        <f t="shared" si="48"/>
        <v>0</v>
      </c>
      <c r="AI165">
        <f t="shared" si="48"/>
        <v>0</v>
      </c>
      <c r="AJ165">
        <f t="shared" si="48"/>
        <v>0</v>
      </c>
      <c r="AK165">
        <f t="shared" si="48"/>
        <v>0</v>
      </c>
      <c r="AL165">
        <f t="shared" si="48"/>
        <v>0</v>
      </c>
      <c r="AM165">
        <f t="shared" si="48"/>
        <v>0</v>
      </c>
      <c r="AN165">
        <f t="shared" si="48"/>
        <v>0</v>
      </c>
      <c r="AO165">
        <f t="shared" si="48"/>
        <v>0</v>
      </c>
      <c r="AP165">
        <f t="shared" si="48"/>
        <v>0</v>
      </c>
      <c r="AQ165">
        <f t="shared" si="48"/>
        <v>0</v>
      </c>
      <c r="AR165">
        <f t="shared" si="48"/>
        <v>0</v>
      </c>
      <c r="AS165">
        <f t="shared" si="48"/>
        <v>0</v>
      </c>
      <c r="AT165">
        <f t="shared" si="48"/>
        <v>0</v>
      </c>
      <c r="AU165">
        <f t="shared" si="48"/>
        <v>0</v>
      </c>
      <c r="AV165">
        <f t="shared" si="48"/>
        <v>0</v>
      </c>
      <c r="AW165">
        <f t="shared" si="48"/>
        <v>0</v>
      </c>
      <c r="AX165">
        <f t="shared" si="48"/>
        <v>0</v>
      </c>
      <c r="AY165">
        <f t="shared" si="48"/>
        <v>0</v>
      </c>
      <c r="AZ165">
        <f t="shared" si="48"/>
        <v>0</v>
      </c>
      <c r="BA165">
        <f t="shared" si="48"/>
        <v>0</v>
      </c>
      <c r="BB165">
        <f t="shared" si="48"/>
        <v>0</v>
      </c>
      <c r="BC165">
        <f t="shared" si="48"/>
        <v>0</v>
      </c>
      <c r="BE165">
        <f t="shared" ref="BE165:BE169" si="49">COUNTIF(C165:BC165, "0")</f>
        <v>53</v>
      </c>
    </row>
    <row r="166" spans="2:57" hidden="1">
      <c r="B166" s="9" t="s">
        <v>174</v>
      </c>
      <c r="C166">
        <f t="shared" ref="C166:BC166" si="50">COUNTIF(C4:C59, "rNF2")</f>
        <v>0</v>
      </c>
      <c r="D166">
        <f t="shared" si="50"/>
        <v>0</v>
      </c>
      <c r="E166">
        <f t="shared" si="50"/>
        <v>0</v>
      </c>
      <c r="F166">
        <f t="shared" si="50"/>
        <v>0</v>
      </c>
      <c r="G166">
        <f t="shared" si="50"/>
        <v>0</v>
      </c>
      <c r="H166">
        <f t="shared" si="50"/>
        <v>0</v>
      </c>
      <c r="I166">
        <f t="shared" si="50"/>
        <v>0</v>
      </c>
      <c r="J166">
        <f t="shared" si="50"/>
        <v>0</v>
      </c>
      <c r="K166">
        <f t="shared" si="50"/>
        <v>0</v>
      </c>
      <c r="L166">
        <f t="shared" si="50"/>
        <v>0</v>
      </c>
      <c r="M166">
        <f t="shared" si="50"/>
        <v>0</v>
      </c>
      <c r="N166">
        <f t="shared" si="50"/>
        <v>0</v>
      </c>
      <c r="O166">
        <f t="shared" si="50"/>
        <v>0</v>
      </c>
      <c r="P166">
        <f t="shared" si="50"/>
        <v>0</v>
      </c>
      <c r="Q166">
        <f t="shared" si="50"/>
        <v>0</v>
      </c>
      <c r="R166">
        <f t="shared" si="50"/>
        <v>0</v>
      </c>
      <c r="S166">
        <f t="shared" si="50"/>
        <v>0</v>
      </c>
      <c r="T166">
        <f t="shared" si="50"/>
        <v>0</v>
      </c>
      <c r="U166">
        <f t="shared" si="50"/>
        <v>0</v>
      </c>
      <c r="V166">
        <f t="shared" si="50"/>
        <v>0</v>
      </c>
      <c r="W166">
        <f t="shared" si="50"/>
        <v>0</v>
      </c>
      <c r="X166">
        <f t="shared" si="50"/>
        <v>0</v>
      </c>
      <c r="Y166">
        <f t="shared" si="50"/>
        <v>0</v>
      </c>
      <c r="Z166">
        <f t="shared" si="50"/>
        <v>0</v>
      </c>
      <c r="AA166">
        <f t="shared" si="50"/>
        <v>0</v>
      </c>
      <c r="AB166">
        <f t="shared" si="50"/>
        <v>0</v>
      </c>
      <c r="AC166">
        <f t="shared" si="50"/>
        <v>0</v>
      </c>
      <c r="AD166">
        <f t="shared" si="50"/>
        <v>0</v>
      </c>
      <c r="AE166">
        <f t="shared" si="50"/>
        <v>0</v>
      </c>
      <c r="AF166">
        <f t="shared" si="50"/>
        <v>0</v>
      </c>
      <c r="AG166">
        <f t="shared" si="50"/>
        <v>0</v>
      </c>
      <c r="AH166">
        <f t="shared" si="50"/>
        <v>0</v>
      </c>
      <c r="AI166">
        <f t="shared" si="50"/>
        <v>0</v>
      </c>
      <c r="AJ166">
        <f t="shared" si="50"/>
        <v>0</v>
      </c>
      <c r="AK166">
        <f t="shared" si="50"/>
        <v>0</v>
      </c>
      <c r="AL166">
        <f t="shared" si="50"/>
        <v>0</v>
      </c>
      <c r="AM166">
        <f t="shared" si="50"/>
        <v>0</v>
      </c>
      <c r="AN166">
        <f t="shared" si="50"/>
        <v>0</v>
      </c>
      <c r="AO166">
        <f t="shared" si="50"/>
        <v>0</v>
      </c>
      <c r="AP166">
        <f t="shared" si="50"/>
        <v>0</v>
      </c>
      <c r="AQ166">
        <f t="shared" si="50"/>
        <v>0</v>
      </c>
      <c r="AR166">
        <f t="shared" si="50"/>
        <v>0</v>
      </c>
      <c r="AS166">
        <f t="shared" si="50"/>
        <v>0</v>
      </c>
      <c r="AT166">
        <f t="shared" si="50"/>
        <v>0</v>
      </c>
      <c r="AU166">
        <f t="shared" si="50"/>
        <v>0</v>
      </c>
      <c r="AV166">
        <f t="shared" si="50"/>
        <v>0</v>
      </c>
      <c r="AW166">
        <f t="shared" si="50"/>
        <v>0</v>
      </c>
      <c r="AX166">
        <f t="shared" si="50"/>
        <v>0</v>
      </c>
      <c r="AY166">
        <f t="shared" si="50"/>
        <v>0</v>
      </c>
      <c r="AZ166">
        <f t="shared" si="50"/>
        <v>0</v>
      </c>
      <c r="BA166">
        <f t="shared" si="50"/>
        <v>0</v>
      </c>
      <c r="BB166">
        <f t="shared" si="50"/>
        <v>0</v>
      </c>
      <c r="BC166">
        <f t="shared" si="50"/>
        <v>0</v>
      </c>
      <c r="BE166">
        <f t="shared" si="49"/>
        <v>53</v>
      </c>
    </row>
    <row r="167" spans="2:57" hidden="1">
      <c r="B167" s="9" t="s">
        <v>175</v>
      </c>
      <c r="C167">
        <f t="shared" ref="C167:BC167" si="51">COUNTIF(C4:C59, "rNF3")</f>
        <v>0</v>
      </c>
      <c r="D167">
        <f t="shared" si="51"/>
        <v>0</v>
      </c>
      <c r="E167">
        <f t="shared" si="51"/>
        <v>0</v>
      </c>
      <c r="F167">
        <f t="shared" si="51"/>
        <v>0</v>
      </c>
      <c r="G167">
        <f t="shared" si="51"/>
        <v>0</v>
      </c>
      <c r="H167">
        <f t="shared" si="51"/>
        <v>0</v>
      </c>
      <c r="I167">
        <f t="shared" si="51"/>
        <v>0</v>
      </c>
      <c r="J167">
        <f t="shared" si="51"/>
        <v>0</v>
      </c>
      <c r="K167">
        <f t="shared" si="51"/>
        <v>0</v>
      </c>
      <c r="L167">
        <f t="shared" si="51"/>
        <v>0</v>
      </c>
      <c r="M167">
        <f t="shared" si="51"/>
        <v>0</v>
      </c>
      <c r="N167">
        <f t="shared" si="51"/>
        <v>0</v>
      </c>
      <c r="O167">
        <f t="shared" si="51"/>
        <v>0</v>
      </c>
      <c r="P167">
        <f t="shared" si="51"/>
        <v>0</v>
      </c>
      <c r="Q167">
        <f t="shared" si="51"/>
        <v>0</v>
      </c>
      <c r="R167">
        <f t="shared" si="51"/>
        <v>0</v>
      </c>
      <c r="S167">
        <f t="shared" si="51"/>
        <v>0</v>
      </c>
      <c r="T167">
        <f t="shared" si="51"/>
        <v>0</v>
      </c>
      <c r="U167">
        <f t="shared" si="51"/>
        <v>0</v>
      </c>
      <c r="V167">
        <f t="shared" si="51"/>
        <v>0</v>
      </c>
      <c r="W167">
        <f t="shared" si="51"/>
        <v>0</v>
      </c>
      <c r="X167">
        <f t="shared" si="51"/>
        <v>0</v>
      </c>
      <c r="Y167">
        <f t="shared" si="51"/>
        <v>0</v>
      </c>
      <c r="Z167">
        <f t="shared" si="51"/>
        <v>0</v>
      </c>
      <c r="AA167">
        <f t="shared" si="51"/>
        <v>0</v>
      </c>
      <c r="AB167">
        <f t="shared" si="51"/>
        <v>0</v>
      </c>
      <c r="AC167">
        <f t="shared" si="51"/>
        <v>0</v>
      </c>
      <c r="AD167">
        <f t="shared" si="51"/>
        <v>0</v>
      </c>
      <c r="AE167">
        <f t="shared" si="51"/>
        <v>0</v>
      </c>
      <c r="AF167">
        <f t="shared" si="51"/>
        <v>0</v>
      </c>
      <c r="AG167">
        <f t="shared" si="51"/>
        <v>0</v>
      </c>
      <c r="AH167">
        <f t="shared" si="51"/>
        <v>0</v>
      </c>
      <c r="AI167">
        <f t="shared" si="51"/>
        <v>0</v>
      </c>
      <c r="AJ167">
        <f t="shared" si="51"/>
        <v>0</v>
      </c>
      <c r="AK167">
        <f t="shared" si="51"/>
        <v>0</v>
      </c>
      <c r="AL167">
        <f t="shared" si="51"/>
        <v>0</v>
      </c>
      <c r="AM167">
        <f t="shared" si="51"/>
        <v>0</v>
      </c>
      <c r="AN167">
        <f t="shared" si="51"/>
        <v>0</v>
      </c>
      <c r="AO167">
        <f t="shared" si="51"/>
        <v>0</v>
      </c>
      <c r="AP167">
        <f t="shared" si="51"/>
        <v>0</v>
      </c>
      <c r="AQ167">
        <f t="shared" si="51"/>
        <v>0</v>
      </c>
      <c r="AR167">
        <f t="shared" si="51"/>
        <v>0</v>
      </c>
      <c r="AS167">
        <f t="shared" si="51"/>
        <v>0</v>
      </c>
      <c r="AT167">
        <f t="shared" si="51"/>
        <v>0</v>
      </c>
      <c r="AU167">
        <f t="shared" si="51"/>
        <v>0</v>
      </c>
      <c r="AV167">
        <f t="shared" si="51"/>
        <v>0</v>
      </c>
      <c r="AW167">
        <f t="shared" si="51"/>
        <v>0</v>
      </c>
      <c r="AX167">
        <f t="shared" si="51"/>
        <v>0</v>
      </c>
      <c r="AY167">
        <f t="shared" si="51"/>
        <v>0</v>
      </c>
      <c r="AZ167">
        <f t="shared" si="51"/>
        <v>0</v>
      </c>
      <c r="BA167">
        <f t="shared" si="51"/>
        <v>0</v>
      </c>
      <c r="BB167">
        <f t="shared" si="51"/>
        <v>0</v>
      </c>
      <c r="BC167">
        <f t="shared" si="51"/>
        <v>0</v>
      </c>
      <c r="BE167">
        <f t="shared" si="49"/>
        <v>53</v>
      </c>
    </row>
    <row r="168" spans="2:57" hidden="1">
      <c r="B168" s="9" t="s">
        <v>176</v>
      </c>
      <c r="C168">
        <f t="shared" ref="C168:BC168" si="52">COUNTIF(C4:C59, "rNF4")</f>
        <v>0</v>
      </c>
      <c r="D168">
        <f t="shared" si="52"/>
        <v>0</v>
      </c>
      <c r="E168">
        <f t="shared" si="52"/>
        <v>0</v>
      </c>
      <c r="F168">
        <f t="shared" si="52"/>
        <v>0</v>
      </c>
      <c r="G168">
        <f t="shared" si="52"/>
        <v>0</v>
      </c>
      <c r="H168">
        <f t="shared" si="52"/>
        <v>0</v>
      </c>
      <c r="I168">
        <f t="shared" si="52"/>
        <v>0</v>
      </c>
      <c r="J168">
        <f t="shared" si="52"/>
        <v>0</v>
      </c>
      <c r="K168">
        <f t="shared" si="52"/>
        <v>0</v>
      </c>
      <c r="L168">
        <f t="shared" si="52"/>
        <v>0</v>
      </c>
      <c r="M168">
        <f t="shared" si="52"/>
        <v>0</v>
      </c>
      <c r="N168">
        <f t="shared" si="52"/>
        <v>0</v>
      </c>
      <c r="O168">
        <f t="shared" si="52"/>
        <v>0</v>
      </c>
      <c r="P168">
        <f t="shared" si="52"/>
        <v>0</v>
      </c>
      <c r="Q168">
        <f t="shared" si="52"/>
        <v>0</v>
      </c>
      <c r="R168">
        <f t="shared" si="52"/>
        <v>0</v>
      </c>
      <c r="S168">
        <f t="shared" si="52"/>
        <v>0</v>
      </c>
      <c r="T168">
        <f t="shared" si="52"/>
        <v>0</v>
      </c>
      <c r="U168">
        <f t="shared" si="52"/>
        <v>0</v>
      </c>
      <c r="V168">
        <f t="shared" si="52"/>
        <v>0</v>
      </c>
      <c r="W168">
        <f t="shared" si="52"/>
        <v>0</v>
      </c>
      <c r="X168">
        <f t="shared" si="52"/>
        <v>0</v>
      </c>
      <c r="Y168">
        <f t="shared" si="52"/>
        <v>0</v>
      </c>
      <c r="Z168">
        <f t="shared" si="52"/>
        <v>0</v>
      </c>
      <c r="AA168">
        <f t="shared" si="52"/>
        <v>0</v>
      </c>
      <c r="AB168">
        <f t="shared" si="52"/>
        <v>0</v>
      </c>
      <c r="AC168">
        <f t="shared" si="52"/>
        <v>0</v>
      </c>
      <c r="AD168">
        <f t="shared" si="52"/>
        <v>0</v>
      </c>
      <c r="AE168">
        <f t="shared" si="52"/>
        <v>0</v>
      </c>
      <c r="AF168">
        <f t="shared" si="52"/>
        <v>0</v>
      </c>
      <c r="AG168">
        <f t="shared" si="52"/>
        <v>0</v>
      </c>
      <c r="AH168">
        <f t="shared" si="52"/>
        <v>0</v>
      </c>
      <c r="AI168">
        <f t="shared" si="52"/>
        <v>0</v>
      </c>
      <c r="AJ168">
        <f t="shared" si="52"/>
        <v>0</v>
      </c>
      <c r="AK168">
        <f t="shared" si="52"/>
        <v>0</v>
      </c>
      <c r="AL168">
        <f t="shared" si="52"/>
        <v>0</v>
      </c>
      <c r="AM168">
        <f t="shared" si="52"/>
        <v>0</v>
      </c>
      <c r="AN168">
        <f t="shared" si="52"/>
        <v>0</v>
      </c>
      <c r="AO168">
        <f t="shared" si="52"/>
        <v>0</v>
      </c>
      <c r="AP168">
        <f t="shared" si="52"/>
        <v>0</v>
      </c>
      <c r="AQ168">
        <f t="shared" si="52"/>
        <v>0</v>
      </c>
      <c r="AR168">
        <f t="shared" si="52"/>
        <v>0</v>
      </c>
      <c r="AS168">
        <f t="shared" si="52"/>
        <v>0</v>
      </c>
      <c r="AT168">
        <f t="shared" si="52"/>
        <v>0</v>
      </c>
      <c r="AU168">
        <f t="shared" si="52"/>
        <v>0</v>
      </c>
      <c r="AV168">
        <f t="shared" si="52"/>
        <v>0</v>
      </c>
      <c r="AW168">
        <f t="shared" si="52"/>
        <v>0</v>
      </c>
      <c r="AX168">
        <f t="shared" si="52"/>
        <v>0</v>
      </c>
      <c r="AY168">
        <f t="shared" si="52"/>
        <v>0</v>
      </c>
      <c r="AZ168">
        <f t="shared" si="52"/>
        <v>0</v>
      </c>
      <c r="BA168">
        <f t="shared" si="52"/>
        <v>0</v>
      </c>
      <c r="BB168">
        <f t="shared" si="52"/>
        <v>0</v>
      </c>
      <c r="BC168">
        <f t="shared" si="52"/>
        <v>0</v>
      </c>
      <c r="BE168">
        <f t="shared" si="49"/>
        <v>53</v>
      </c>
    </row>
    <row r="169" spans="2:57" hidden="1">
      <c r="B169" s="9" t="s">
        <v>177</v>
      </c>
      <c r="C169">
        <f t="shared" ref="C169:BC169" si="53">COUNTIF(C4:C59, "rNF5")</f>
        <v>0</v>
      </c>
      <c r="D169">
        <f t="shared" si="53"/>
        <v>0</v>
      </c>
      <c r="E169">
        <f t="shared" si="53"/>
        <v>0</v>
      </c>
      <c r="F169">
        <f t="shared" si="53"/>
        <v>0</v>
      </c>
      <c r="G169">
        <f t="shared" si="53"/>
        <v>0</v>
      </c>
      <c r="H169">
        <f t="shared" si="53"/>
        <v>0</v>
      </c>
      <c r="I169">
        <f t="shared" si="53"/>
        <v>0</v>
      </c>
      <c r="J169">
        <f t="shared" si="53"/>
        <v>0</v>
      </c>
      <c r="K169">
        <f t="shared" si="53"/>
        <v>0</v>
      </c>
      <c r="L169">
        <f t="shared" si="53"/>
        <v>0</v>
      </c>
      <c r="M169">
        <f t="shared" si="53"/>
        <v>0</v>
      </c>
      <c r="N169">
        <f t="shared" si="53"/>
        <v>0</v>
      </c>
      <c r="O169">
        <f t="shared" si="53"/>
        <v>0</v>
      </c>
      <c r="P169">
        <f t="shared" si="53"/>
        <v>0</v>
      </c>
      <c r="Q169">
        <f t="shared" si="53"/>
        <v>0</v>
      </c>
      <c r="R169">
        <f t="shared" si="53"/>
        <v>0</v>
      </c>
      <c r="S169">
        <f t="shared" si="53"/>
        <v>0</v>
      </c>
      <c r="T169">
        <f t="shared" si="53"/>
        <v>0</v>
      </c>
      <c r="U169">
        <f t="shared" si="53"/>
        <v>0</v>
      </c>
      <c r="V169">
        <f t="shared" si="53"/>
        <v>0</v>
      </c>
      <c r="W169">
        <f t="shared" si="53"/>
        <v>0</v>
      </c>
      <c r="X169">
        <f t="shared" si="53"/>
        <v>0</v>
      </c>
      <c r="Y169">
        <f t="shared" si="53"/>
        <v>0</v>
      </c>
      <c r="Z169">
        <f t="shared" si="53"/>
        <v>0</v>
      </c>
      <c r="AA169">
        <f t="shared" si="53"/>
        <v>0</v>
      </c>
      <c r="AB169">
        <f t="shared" si="53"/>
        <v>0</v>
      </c>
      <c r="AC169">
        <f t="shared" si="53"/>
        <v>0</v>
      </c>
      <c r="AD169">
        <f t="shared" si="53"/>
        <v>0</v>
      </c>
      <c r="AE169">
        <f t="shared" si="53"/>
        <v>0</v>
      </c>
      <c r="AF169">
        <f t="shared" si="53"/>
        <v>0</v>
      </c>
      <c r="AG169">
        <f t="shared" si="53"/>
        <v>0</v>
      </c>
      <c r="AH169">
        <f t="shared" si="53"/>
        <v>0</v>
      </c>
      <c r="AI169">
        <f t="shared" si="53"/>
        <v>0</v>
      </c>
      <c r="AJ169">
        <f t="shared" si="53"/>
        <v>0</v>
      </c>
      <c r="AK169">
        <f t="shared" si="53"/>
        <v>0</v>
      </c>
      <c r="AL169">
        <f t="shared" si="53"/>
        <v>0</v>
      </c>
      <c r="AM169">
        <f t="shared" si="53"/>
        <v>0</v>
      </c>
      <c r="AN169">
        <f t="shared" si="53"/>
        <v>0</v>
      </c>
      <c r="AO169">
        <f t="shared" si="53"/>
        <v>0</v>
      </c>
      <c r="AP169">
        <f t="shared" si="53"/>
        <v>0</v>
      </c>
      <c r="AQ169">
        <f t="shared" si="53"/>
        <v>0</v>
      </c>
      <c r="AR169">
        <f t="shared" si="53"/>
        <v>0</v>
      </c>
      <c r="AS169">
        <f t="shared" si="53"/>
        <v>0</v>
      </c>
      <c r="AT169">
        <f t="shared" si="53"/>
        <v>0</v>
      </c>
      <c r="AU169">
        <f t="shared" si="53"/>
        <v>0</v>
      </c>
      <c r="AV169">
        <f t="shared" si="53"/>
        <v>0</v>
      </c>
      <c r="AW169">
        <f t="shared" si="53"/>
        <v>0</v>
      </c>
      <c r="AX169">
        <f t="shared" si="53"/>
        <v>0</v>
      </c>
      <c r="AY169">
        <f t="shared" si="53"/>
        <v>0</v>
      </c>
      <c r="AZ169">
        <f t="shared" si="53"/>
        <v>0</v>
      </c>
      <c r="BA169">
        <f t="shared" si="53"/>
        <v>0</v>
      </c>
      <c r="BB169">
        <f t="shared" si="53"/>
        <v>0</v>
      </c>
      <c r="BC169">
        <f t="shared" si="53"/>
        <v>0</v>
      </c>
      <c r="BE169">
        <f t="shared" si="49"/>
        <v>53</v>
      </c>
    </row>
    <row r="170" spans="2:57" hidden="1"/>
    <row r="171" spans="2:57" hidden="1"/>
    <row r="172" spans="2:57" hidden="1">
      <c r="B172" t="s">
        <v>178</v>
      </c>
      <c r="C172">
        <f t="shared" ref="C172:BC172" si="54">COUNTIF(C4:C59, "ID1")</f>
        <v>0</v>
      </c>
      <c r="D172">
        <f t="shared" si="54"/>
        <v>0</v>
      </c>
      <c r="E172">
        <f t="shared" si="54"/>
        <v>0</v>
      </c>
      <c r="F172">
        <f t="shared" si="54"/>
        <v>0</v>
      </c>
      <c r="G172">
        <f t="shared" si="54"/>
        <v>0</v>
      </c>
      <c r="H172">
        <f t="shared" si="54"/>
        <v>0</v>
      </c>
      <c r="I172">
        <f t="shared" si="54"/>
        <v>0</v>
      </c>
      <c r="J172">
        <f t="shared" si="54"/>
        <v>0</v>
      </c>
      <c r="K172">
        <f t="shared" si="54"/>
        <v>0</v>
      </c>
      <c r="L172">
        <f t="shared" si="54"/>
        <v>0</v>
      </c>
      <c r="M172">
        <f t="shared" si="54"/>
        <v>0</v>
      </c>
      <c r="N172">
        <f t="shared" si="54"/>
        <v>0</v>
      </c>
      <c r="O172">
        <f t="shared" si="54"/>
        <v>0</v>
      </c>
      <c r="P172">
        <f t="shared" si="54"/>
        <v>0</v>
      </c>
      <c r="Q172">
        <f t="shared" si="54"/>
        <v>0</v>
      </c>
      <c r="R172">
        <f t="shared" si="54"/>
        <v>0</v>
      </c>
      <c r="S172">
        <f t="shared" si="54"/>
        <v>0</v>
      </c>
      <c r="T172">
        <f t="shared" si="54"/>
        <v>0</v>
      </c>
      <c r="U172">
        <f t="shared" si="54"/>
        <v>0</v>
      </c>
      <c r="V172">
        <f t="shared" si="54"/>
        <v>0</v>
      </c>
      <c r="W172">
        <f t="shared" si="54"/>
        <v>0</v>
      </c>
      <c r="X172">
        <f t="shared" si="54"/>
        <v>0</v>
      </c>
      <c r="Y172">
        <f t="shared" si="54"/>
        <v>0</v>
      </c>
      <c r="Z172">
        <f t="shared" si="54"/>
        <v>0</v>
      </c>
      <c r="AA172">
        <f t="shared" si="54"/>
        <v>0</v>
      </c>
      <c r="AB172">
        <f t="shared" si="54"/>
        <v>0</v>
      </c>
      <c r="AC172">
        <f t="shared" si="54"/>
        <v>0</v>
      </c>
      <c r="AD172">
        <f t="shared" si="54"/>
        <v>0</v>
      </c>
      <c r="AE172">
        <f t="shared" si="54"/>
        <v>0</v>
      </c>
      <c r="AF172">
        <f t="shared" si="54"/>
        <v>0</v>
      </c>
      <c r="AG172">
        <f t="shared" si="54"/>
        <v>0</v>
      </c>
      <c r="AH172">
        <f t="shared" si="54"/>
        <v>0</v>
      </c>
      <c r="AI172">
        <f t="shared" si="54"/>
        <v>0</v>
      </c>
      <c r="AJ172">
        <f t="shared" si="54"/>
        <v>0</v>
      </c>
      <c r="AK172">
        <f t="shared" si="54"/>
        <v>0</v>
      </c>
      <c r="AL172">
        <f t="shared" si="54"/>
        <v>0</v>
      </c>
      <c r="AM172">
        <f t="shared" si="54"/>
        <v>0</v>
      </c>
      <c r="AN172">
        <f t="shared" si="54"/>
        <v>0</v>
      </c>
      <c r="AO172">
        <f t="shared" si="54"/>
        <v>0</v>
      </c>
      <c r="AP172">
        <f t="shared" si="54"/>
        <v>0</v>
      </c>
      <c r="AQ172">
        <f t="shared" si="54"/>
        <v>0</v>
      </c>
      <c r="AR172">
        <f t="shared" si="54"/>
        <v>0</v>
      </c>
      <c r="AS172">
        <f t="shared" si="54"/>
        <v>0</v>
      </c>
      <c r="AT172">
        <f t="shared" si="54"/>
        <v>0</v>
      </c>
      <c r="AU172">
        <f t="shared" si="54"/>
        <v>0</v>
      </c>
      <c r="AV172">
        <f t="shared" si="54"/>
        <v>0</v>
      </c>
      <c r="AW172">
        <f t="shared" si="54"/>
        <v>0</v>
      </c>
      <c r="AX172">
        <f t="shared" si="54"/>
        <v>0</v>
      </c>
      <c r="AY172">
        <f t="shared" si="54"/>
        <v>0</v>
      </c>
      <c r="AZ172">
        <f t="shared" si="54"/>
        <v>0</v>
      </c>
      <c r="BA172">
        <f t="shared" si="54"/>
        <v>0</v>
      </c>
      <c r="BB172">
        <f t="shared" si="54"/>
        <v>0</v>
      </c>
      <c r="BC172">
        <f t="shared" si="54"/>
        <v>0</v>
      </c>
      <c r="BE172">
        <f t="shared" ref="BE172:BE173" si="55">COUNTIF(C172:BC172, "0")</f>
        <v>53</v>
      </c>
    </row>
    <row r="173" spans="2:57" hidden="1">
      <c r="B173" t="s">
        <v>179</v>
      </c>
      <c r="C173">
        <f t="shared" ref="C173:D173" si="56">COUNTIF(C4:C59, "jeopardy")</f>
        <v>0</v>
      </c>
      <c r="D173">
        <f t="shared" si="56"/>
        <v>0</v>
      </c>
      <c r="E173">
        <f>COUNTIF(E4:E59, "jeopardy")</f>
        <v>0</v>
      </c>
      <c r="F173">
        <f t="shared" ref="F173:BC173" si="57">COUNTIF(F4:F59, "jeopardy")</f>
        <v>0</v>
      </c>
      <c r="G173">
        <f t="shared" si="57"/>
        <v>0</v>
      </c>
      <c r="H173">
        <f t="shared" si="57"/>
        <v>0</v>
      </c>
      <c r="I173">
        <f t="shared" si="57"/>
        <v>0</v>
      </c>
      <c r="J173">
        <f t="shared" si="57"/>
        <v>0</v>
      </c>
      <c r="K173">
        <f t="shared" si="57"/>
        <v>0</v>
      </c>
      <c r="L173">
        <f t="shared" si="57"/>
        <v>0</v>
      </c>
      <c r="M173">
        <f t="shared" si="57"/>
        <v>0</v>
      </c>
      <c r="N173">
        <f t="shared" si="57"/>
        <v>0</v>
      </c>
      <c r="O173">
        <f t="shared" si="57"/>
        <v>0</v>
      </c>
      <c r="P173">
        <f t="shared" si="57"/>
        <v>0</v>
      </c>
      <c r="Q173">
        <f t="shared" si="57"/>
        <v>0</v>
      </c>
      <c r="R173">
        <f t="shared" si="57"/>
        <v>0</v>
      </c>
      <c r="S173">
        <f t="shared" si="57"/>
        <v>0</v>
      </c>
      <c r="T173">
        <f t="shared" si="57"/>
        <v>0</v>
      </c>
      <c r="U173">
        <f t="shared" si="57"/>
        <v>0</v>
      </c>
      <c r="V173">
        <f t="shared" si="57"/>
        <v>0</v>
      </c>
      <c r="W173">
        <f t="shared" si="57"/>
        <v>0</v>
      </c>
      <c r="X173">
        <f t="shared" si="57"/>
        <v>0</v>
      </c>
      <c r="Y173">
        <f t="shared" si="57"/>
        <v>0</v>
      </c>
      <c r="Z173">
        <f t="shared" si="57"/>
        <v>0</v>
      </c>
      <c r="AA173">
        <f t="shared" si="57"/>
        <v>0</v>
      </c>
      <c r="AB173">
        <f t="shared" si="57"/>
        <v>0</v>
      </c>
      <c r="AC173">
        <f t="shared" si="57"/>
        <v>0</v>
      </c>
      <c r="AD173">
        <f t="shared" si="57"/>
        <v>0</v>
      </c>
      <c r="AE173">
        <f t="shared" si="57"/>
        <v>0</v>
      </c>
      <c r="AF173">
        <f t="shared" si="57"/>
        <v>0</v>
      </c>
      <c r="AG173">
        <f t="shared" si="57"/>
        <v>0</v>
      </c>
      <c r="AH173">
        <f t="shared" si="57"/>
        <v>0</v>
      </c>
      <c r="AI173">
        <f t="shared" si="57"/>
        <v>0</v>
      </c>
      <c r="AJ173">
        <f t="shared" si="57"/>
        <v>0</v>
      </c>
      <c r="AK173">
        <f t="shared" si="57"/>
        <v>0</v>
      </c>
      <c r="AL173">
        <f t="shared" si="57"/>
        <v>0</v>
      </c>
      <c r="AM173">
        <f t="shared" si="57"/>
        <v>0</v>
      </c>
      <c r="AN173">
        <f t="shared" si="57"/>
        <v>0</v>
      </c>
      <c r="AO173">
        <f t="shared" si="57"/>
        <v>0</v>
      </c>
      <c r="AP173">
        <f t="shared" si="57"/>
        <v>0</v>
      </c>
      <c r="AQ173">
        <f t="shared" si="57"/>
        <v>0</v>
      </c>
      <c r="AR173">
        <f t="shared" si="57"/>
        <v>0</v>
      </c>
      <c r="AS173">
        <f t="shared" si="57"/>
        <v>0</v>
      </c>
      <c r="AT173">
        <f t="shared" si="57"/>
        <v>0</v>
      </c>
      <c r="AU173">
        <f t="shared" si="57"/>
        <v>0</v>
      </c>
      <c r="AV173">
        <f t="shared" si="57"/>
        <v>0</v>
      </c>
      <c r="AW173">
        <f t="shared" si="57"/>
        <v>0</v>
      </c>
      <c r="AX173">
        <f t="shared" si="57"/>
        <v>0</v>
      </c>
      <c r="AY173">
        <f t="shared" si="57"/>
        <v>0</v>
      </c>
      <c r="AZ173">
        <f t="shared" si="57"/>
        <v>0</v>
      </c>
      <c r="BA173">
        <f t="shared" si="57"/>
        <v>0</v>
      </c>
      <c r="BB173">
        <f t="shared" si="57"/>
        <v>0</v>
      </c>
      <c r="BC173">
        <f t="shared" si="57"/>
        <v>0</v>
      </c>
      <c r="BE173">
        <f t="shared" si="55"/>
        <v>53</v>
      </c>
    </row>
    <row r="174" spans="2:57" hidden="1"/>
    <row r="175" spans="2:57" hidden="1">
      <c r="B175" s="1" t="s">
        <v>180</v>
      </c>
      <c r="C175">
        <f t="shared" ref="C175:BC175" si="58">SUM(C164+C161+C162+C157+C153+C148+C141+C133)</f>
        <v>0</v>
      </c>
      <c r="D175">
        <f t="shared" si="58"/>
        <v>0</v>
      </c>
      <c r="E175">
        <f t="shared" si="58"/>
        <v>0</v>
      </c>
      <c r="F175">
        <f t="shared" si="58"/>
        <v>0</v>
      </c>
      <c r="G175">
        <f t="shared" si="58"/>
        <v>0</v>
      </c>
      <c r="H175">
        <f t="shared" si="58"/>
        <v>0</v>
      </c>
      <c r="I175">
        <f t="shared" si="58"/>
        <v>0</v>
      </c>
      <c r="J175">
        <f t="shared" si="58"/>
        <v>0</v>
      </c>
      <c r="K175">
        <f t="shared" si="58"/>
        <v>0</v>
      </c>
      <c r="L175">
        <f t="shared" si="58"/>
        <v>0</v>
      </c>
      <c r="M175">
        <f t="shared" si="58"/>
        <v>0</v>
      </c>
      <c r="N175">
        <f t="shared" si="58"/>
        <v>0</v>
      </c>
      <c r="O175">
        <f t="shared" si="58"/>
        <v>0</v>
      </c>
      <c r="P175">
        <f t="shared" si="58"/>
        <v>0</v>
      </c>
      <c r="Q175">
        <f t="shared" si="58"/>
        <v>0</v>
      </c>
      <c r="R175">
        <f t="shared" si="58"/>
        <v>0</v>
      </c>
      <c r="S175">
        <f t="shared" si="58"/>
        <v>0</v>
      </c>
      <c r="T175">
        <f t="shared" si="58"/>
        <v>0</v>
      </c>
      <c r="U175">
        <f t="shared" si="58"/>
        <v>0</v>
      </c>
      <c r="V175">
        <f t="shared" si="58"/>
        <v>0</v>
      </c>
      <c r="W175">
        <f t="shared" si="58"/>
        <v>0</v>
      </c>
      <c r="X175">
        <f t="shared" si="58"/>
        <v>0</v>
      </c>
      <c r="Y175">
        <f t="shared" si="58"/>
        <v>0</v>
      </c>
      <c r="Z175">
        <f t="shared" si="58"/>
        <v>0</v>
      </c>
      <c r="AA175">
        <f t="shared" si="58"/>
        <v>0</v>
      </c>
      <c r="AB175">
        <f t="shared" si="58"/>
        <v>0</v>
      </c>
      <c r="AC175">
        <f t="shared" si="58"/>
        <v>0</v>
      </c>
      <c r="AD175">
        <f t="shared" si="58"/>
        <v>0</v>
      </c>
      <c r="AE175">
        <f t="shared" si="58"/>
        <v>0</v>
      </c>
      <c r="AF175">
        <f t="shared" si="58"/>
        <v>0</v>
      </c>
      <c r="AG175">
        <f t="shared" si="58"/>
        <v>0</v>
      </c>
      <c r="AH175">
        <f t="shared" si="58"/>
        <v>0</v>
      </c>
      <c r="AI175">
        <f t="shared" si="58"/>
        <v>0</v>
      </c>
      <c r="AJ175">
        <f t="shared" si="58"/>
        <v>0</v>
      </c>
      <c r="AK175">
        <f t="shared" si="58"/>
        <v>0</v>
      </c>
      <c r="AL175">
        <f t="shared" si="58"/>
        <v>0</v>
      </c>
      <c r="AM175">
        <f t="shared" si="58"/>
        <v>0</v>
      </c>
      <c r="AN175">
        <f t="shared" si="58"/>
        <v>0</v>
      </c>
      <c r="AO175">
        <f t="shared" si="58"/>
        <v>0</v>
      </c>
      <c r="AP175">
        <f t="shared" si="58"/>
        <v>0</v>
      </c>
      <c r="AQ175">
        <f t="shared" si="58"/>
        <v>0</v>
      </c>
      <c r="AR175">
        <f t="shared" si="58"/>
        <v>0</v>
      </c>
      <c r="AS175">
        <f t="shared" si="58"/>
        <v>0</v>
      </c>
      <c r="AT175">
        <f t="shared" si="58"/>
        <v>0</v>
      </c>
      <c r="AU175">
        <f t="shared" si="58"/>
        <v>0</v>
      </c>
      <c r="AV175">
        <f t="shared" si="58"/>
        <v>0</v>
      </c>
      <c r="AW175">
        <f t="shared" si="58"/>
        <v>0</v>
      </c>
      <c r="AX175">
        <f t="shared" si="58"/>
        <v>0</v>
      </c>
      <c r="AY175">
        <f t="shared" si="58"/>
        <v>0</v>
      </c>
      <c r="AZ175">
        <f t="shared" si="58"/>
        <v>0</v>
      </c>
      <c r="BA175">
        <f t="shared" si="58"/>
        <v>0</v>
      </c>
      <c r="BB175">
        <f t="shared" si="58"/>
        <v>0</v>
      </c>
      <c r="BC175">
        <f t="shared" si="58"/>
        <v>0</v>
      </c>
    </row>
    <row r="176" spans="2:57" hidden="1">
      <c r="B176" t="s">
        <v>181</v>
      </c>
    </row>
    <row r="177" spans="1:3" hidden="1">
      <c r="A177" s="21"/>
      <c r="B177" t="s">
        <v>182</v>
      </c>
    </row>
    <row r="178" spans="1:3" hidden="1"/>
    <row r="179" spans="1:3">
      <c r="B179" s="1" t="s">
        <v>183</v>
      </c>
    </row>
    <row r="180" spans="1:3">
      <c r="B180" t="s">
        <v>151</v>
      </c>
      <c r="C180">
        <f>SUM(C181:C190)</f>
        <v>1</v>
      </c>
    </row>
    <row r="181" spans="1:3">
      <c r="B181" s="9" t="s">
        <v>184</v>
      </c>
      <c r="C181">
        <f>COUNTIF(C60:C126, "iSLUH1")</f>
        <v>1</v>
      </c>
    </row>
    <row r="182" spans="1:3">
      <c r="B182" t="s">
        <v>185</v>
      </c>
      <c r="C182">
        <f>COUNTIF(C60:C126, "iSLUH2")</f>
        <v>0</v>
      </c>
    </row>
    <row r="183" spans="1:3">
      <c r="B183" t="s">
        <v>186</v>
      </c>
      <c r="C183">
        <f>COUNTIF(C60:C126, "iSLUH3")</f>
        <v>0</v>
      </c>
    </row>
    <row r="184" spans="1:3">
      <c r="B184" t="s">
        <v>187</v>
      </c>
      <c r="C184">
        <f>COUNTIF(C60:C126, "iSLUH4")</f>
        <v>0</v>
      </c>
    </row>
    <row r="185" spans="1:3">
      <c r="B185" t="s">
        <v>188</v>
      </c>
      <c r="C185">
        <f>COUNTIF(C60:C126, "iSLUH5")</f>
        <v>0</v>
      </c>
    </row>
    <row r="186" spans="1:3">
      <c r="B186" t="s">
        <v>189</v>
      </c>
      <c r="C186">
        <f>COUNTIF(C60:C126, "iSLUH6")</f>
        <v>0</v>
      </c>
    </row>
    <row r="187" spans="1:3">
      <c r="B187" t="s">
        <v>190</v>
      </c>
      <c r="C187">
        <f>COUNTIF(C60:C126, "iSLUH7")</f>
        <v>0</v>
      </c>
    </row>
    <row r="188" spans="1:3">
      <c r="B188" t="s">
        <v>191</v>
      </c>
      <c r="C188">
        <f>COUNTIF(C60:C126, "iSLUH8")</f>
        <v>0</v>
      </c>
    </row>
    <row r="189" spans="1:3">
      <c r="B189" s="14" t="s">
        <v>192</v>
      </c>
      <c r="C189">
        <f>COUNTIF(C60:C126, "iSLUH9")</f>
        <v>0</v>
      </c>
    </row>
    <row r="190" spans="1:3">
      <c r="B190" s="14" t="s">
        <v>193</v>
      </c>
      <c r="C190">
        <f>COUNTIF(C60:C126, "iSLUH10")</f>
        <v>0</v>
      </c>
    </row>
    <row r="192" spans="1:3">
      <c r="B192" t="s">
        <v>158</v>
      </c>
      <c r="C192">
        <f>SUM(C193:C197)</f>
        <v>0</v>
      </c>
    </row>
    <row r="193" spans="2:3">
      <c r="B193" t="s">
        <v>194</v>
      </c>
      <c r="C193">
        <f>COUNTIF(C60:C126, "iVA1")</f>
        <v>0</v>
      </c>
    </row>
    <row r="194" spans="2:3">
      <c r="B194" t="s">
        <v>195</v>
      </c>
      <c r="C194">
        <f>COUNTIF(C60:C126, "iVA2")</f>
        <v>0</v>
      </c>
    </row>
    <row r="195" spans="2:3">
      <c r="B195" t="s">
        <v>196</v>
      </c>
      <c r="C195">
        <f>COUNTIF(C60:C126, "iVA3")</f>
        <v>0</v>
      </c>
    </row>
    <row r="196" spans="2:3">
      <c r="B196" t="s">
        <v>197</v>
      </c>
      <c r="C196">
        <f>COUNTIF(C60:C126, "iVA4")</f>
        <v>0</v>
      </c>
    </row>
    <row r="197" spans="2:3">
      <c r="B197" t="s">
        <v>198</v>
      </c>
      <c r="C197">
        <f>COUNTIF(C60:C126, "iVA5")</f>
        <v>0</v>
      </c>
    </row>
    <row r="198" spans="2:3">
      <c r="B198" t="s">
        <v>199</v>
      </c>
      <c r="C198">
        <f>COUNTIF(C60:C126, "Vswing")</f>
        <v>0</v>
      </c>
    </row>
    <row r="200" spans="2:3">
      <c r="B200" t="s">
        <v>136</v>
      </c>
      <c r="C200">
        <f>SUM(C201:C203)</f>
        <v>0</v>
      </c>
    </row>
    <row r="201" spans="2:3">
      <c r="B201" t="s">
        <v>200</v>
      </c>
      <c r="C201">
        <f>COUNTIF(C60:C126, "iMICU1")</f>
        <v>0</v>
      </c>
    </row>
    <row r="202" spans="2:3">
      <c r="B202" t="s">
        <v>201</v>
      </c>
      <c r="C202">
        <f>COUNTIF(C60:C126, "iMICU2")</f>
        <v>0</v>
      </c>
    </row>
    <row r="203" spans="2:3">
      <c r="B203" s="14" t="s">
        <v>202</v>
      </c>
      <c r="C203">
        <f>COUNTIF(C60:C126, "iMICU3")</f>
        <v>0</v>
      </c>
    </row>
    <row r="205" spans="2:3">
      <c r="B205" t="s">
        <v>129</v>
      </c>
      <c r="C205">
        <f>SUM(C206:C209)</f>
        <v>0</v>
      </c>
    </row>
    <row r="206" spans="2:3">
      <c r="B206" t="s">
        <v>203</v>
      </c>
      <c r="C206">
        <f>COUNTIF(C60:C126, "iNF1")</f>
        <v>0</v>
      </c>
    </row>
    <row r="207" spans="2:3">
      <c r="B207" t="s">
        <v>204</v>
      </c>
      <c r="C207">
        <f>COUNTIF(C60:C126, "iNF2")</f>
        <v>0</v>
      </c>
    </row>
    <row r="208" spans="2:3">
      <c r="B208" t="s">
        <v>205</v>
      </c>
      <c r="C208">
        <f>COUNTIF(C60:C126, "iNF3")</f>
        <v>0</v>
      </c>
    </row>
    <row r="209" spans="2:3">
      <c r="B209" t="s">
        <v>206</v>
      </c>
      <c r="C209">
        <f>COUNTIF(C60:C126, "iNF4")</f>
        <v>0</v>
      </c>
    </row>
    <row r="211" spans="2:3">
      <c r="B211" t="s">
        <v>207</v>
      </c>
      <c r="C211">
        <f>COUNTIF(C60:C126, "icar")</f>
        <v>0</v>
      </c>
    </row>
    <row r="213" spans="2:3">
      <c r="B213" t="s">
        <v>208</v>
      </c>
      <c r="C213">
        <f>SUM(C211+C205+C200+C198+C192+C180)</f>
        <v>1</v>
      </c>
    </row>
    <row r="214" spans="2:3"/>
  </sheetData>
  <conditionalFormatting sqref="AH105:BO105 AT106:BO106 AY107:BO107 BD108:BO108 B141:B146 B148:B151 B153:B155 B157:B159 B161:B162 A1:BO3 A4:A214 E105:AC105 E106:AO106 E107:AT107 B132:B137 B184:C198 C199 C178:C183 B200:C214 B164:B181 C129 BE62:BF62 BD63:BF94 D4:W94 Y4:AA94 B4:B94 BD4:BO60 BD61:BF61 BG61:BO94 D178:D214 C130:D177 AD4:BB93 AD94:BA94 C88:C95 B110:C128 B108 B95:D107 D110:D129 F108:AX108 B109:G109 E109:BO214 E95:BO104">
    <cfRule type="containsText" dxfId="4" priority="2" operator="containsText" text="Clinic">
      <formula>NOT(ISERROR(SEARCH("Clinic",A1)))</formula>
    </cfRule>
  </conditionalFormatting>
  <conditionalFormatting sqref="XFD111">
    <cfRule type="containsText" dxfId="3" priority="1" operator="containsText" text="Clinic">
      <formula>NOT(ISERROR(SEARCH("Clinic",XFD111)))</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177A527C-5D9F-4CF6-B5CE-5A97E7F331E3}">
          <x14:formula1>
            <xm:f>'Rotation List'!$A$38:$A$61</xm:f>
          </x14:formula1>
          <xm:sqref>D65:F65 E63:F63 E60:G60 AZ62:BB62 H63:J63 K60:M60 G62:I62 D64:E64 BA63:BB63 AD64:AF64 BB64 AK65:AM65 AQ65:AS65 AR60:AT60 M62:O62 AW65:AY65 AV70:AX70 AV76:AX76 AV82:AX82 Y60:Z60 AF60:AH60 AL60:AN60 AX60:AZ60 F61:H61 L61:N61 Q60:S60 W60 R61:T61 Y61:AA61 AM61:AO61 AY61:BA61 AS61:AU61 AG61:AI61 S62:U62 AD62 Z62:AA62 AH62:AJ62 AN62:AP62 AT62:AV62 I64:K64 J65:L65 D62:D63 N63:P63 T63:V63 AA63 AD63:AE63 AI63:AK63 AO63:AQ63 AU63:AW63 O64:Q64 U64:W64 P65:R65 V65:W65 Y65 AE65:AG65 AJ64:AL64 AP64:AR64 AV64:AX64 D71:F71 E69:F69 E66:G66 AZ68:BB68 H69:J69 K66:M66 G68:I68 D70:E70 BA69:BB69 AD70:AF70 BB70 AK71:AM71 AQ71:AS71 AR66:AT66 M68:O68 AW71:AY71 Y66:Z66 AF66:AH66 AL66:AN66 AX66:AZ66 F67:H67 L67:N67 Q66:S66 W66 R67:T67 Y67:AA67 AM67:AO67 AY67:BA67 AS67:AU67 AG67:AI67 S68:U68 AD68 Z68:AA68 AH68:AJ68 AN68:AP68 AT68:AV68 I70:K70 J71:L71 D68:D69 N69:P69 T69:V69 AA69 AD69:AE69 AI69:AK69 AO69:AQ69 AU69:AW69 O70:Q70 U70:W70 P71:R71 V71:W71 Y71 AE71:AG71 AJ70:AL70 AP70:AR70 D77:F77 E75:F75 E72:G72 AZ74:BB74 H75:J75 K72:M72 G74:I74 D76:E76 BA75:BB75 AD76:AF76 BB76 AK77:AM77 AQ77:AS77 AR72:AT72 M74:O74 AW77:AY77 Y72:Z72 AF72:AH72 AL72:AN72 AX72:AZ72 F73:H73 L73:N73 Q72:S72 W72 R73:T73 Y73:AA73 AM73:AO73 AY73:BA73 AS73:AU73 AG73:AI73 S74:U74 AD74 Z74:AA74 AH74:AJ74 AN74:AP74 AT74:AV74 I76:K76 J77:L77 D74:D75 N75:P75 T75:V75 AA75 AD75:AE75 AI75:AK75 AO75:AQ75 AU75:AW75 O76:Q76 U76:W76 P77:R77 V77:W77 Y77 AE77:AG77 AJ76:AL76 AP76:AR76 D83:F83 E81:F81 E78:G78 AZ80:BB80 H81:J81 K78:M78 G80:I80 D82:E82 BA81:BB81 AD82:AF82 BB82 AK83:AM83 AQ83:AS83 AR78:AT78 M80:O80 AW83:AY83 Y78:Z78 AF78:AH78 AL78:AN78 AX78:AZ78 F79:H79 L79:N79 Q78:S78 W78 R79:T79 Y79:AA79 AM79:AO79 AY79:BA79 AS79:AU79 AG79:AI79 S80:U80 AD80 Z80:AA80 AH80:AJ80 AN80:AP80 AT80:AV80 I82:K82 J83:L83 D80:D81 N81:P81 T81:V81 AA81 AD81:AE81 AI81:AK81 AO81:AQ81 AU81:AW81 O82:Q82 U82:W82 P83:R83 V83:W83 Y83 AE83:AG83 AJ82:AL82 AP82:AR82 D89:F89 E87:F87 E84:G84 AZ86:BB86 H87:J87 K84:M84 G86:I86 D88:E88 BA87:BB87 AD88:AF88 BB88 AK89:AM89 AQ89:AS89 AR84:AT84 M86:O86 AW89:AY89 Y84:Z84 AF84:AH84 AL84:AN84 AX84:AZ84 F85:H85 L85:N85 Q84:S84 W84 R85:T85 Y85:AA85 AM85:AO85 AY85:BA85 AS85:AU85 AG85:AI85 S86:U86 AD86 Z86:AA86 AH86:AJ86 AN86:AP86 AT86:AV86 I88:K88 J89:L89 D86:D87 N87:P87 T87:V87 AA87 AD87:AE87 AI87:AK87 AO87:AQ87 AU87:AW87 O88:Q88 U88:W88 P89:R89 V89:W89 Y89 AE89:AG89 AJ88:AL88 AP88:AR88 AV88:AX88 E93:F93 E90:G90 AZ92:BB92 H93:J93 K90:M90 G92:I92 D94:E94 BA93:BB93 AD94:AF94 C95 AR90:AT90 M92:O92 Y90:Z90 AF90:AH90 AL90:AN90 AX90:AZ90 F91:H91 L91:N91 Q90:S90 W90 R91:T91 Y91:AA91 AM91:AO91 AY91:BA91 AS91:AU91 AG91:AI91 S92:U92 AD92 Z92:AA92 AH92:AJ92 AN92:AP92 AT92:AV92 I94:K94 D92:D93 N93:P93 T93:V93 AA93 AD93:AE93 AI93:AK93 AO93:AQ93 AU93:AW93 O94:Q94 U94:W94 AJ94:AL94 AP94:AR94 AV94:AX94</xm:sqref>
        </x14:dataValidation>
        <x14:dataValidation type="list" allowBlank="1" showDropDown="1" showInputMessage="1" showErrorMessage="1" xr:uid="{5400D413-2B32-40BE-A863-47709D863192}">
          <x14:formula1>
            <xm:f>'Rotation List'!$A$6:$A$32</xm:f>
          </x14:formula1>
          <xm:sqref>F6 L6 R6 Y6 AG6 AM6 AS6 AY6 F12 L12 R12 Y12 AG12 AM12 AS12 AY12 F18 L18 R18 Y18 AG18 AM18 AS18 AY18 F24 L24 R24 Y24 AG24 AM24 AS24 AY24 F30 L30 R30 Y30 AG30 AM30 AS30 AY30 F36 L36 R36 Y36 AG36 AM36 AS36 AY36 F42 L42 R42 Y42 AG42 AM42 AS42 AY42 F48 L48 R48 Y48 AG48 AM48 AS48 AY48 F54 L54 R54 Y54 AG54 AM54 AS54 AY54</xm:sqref>
        </x14:dataValidation>
        <x14:dataValidation type="list" allowBlank="1" showInputMessage="1" showErrorMessage="1" xr:uid="{6BD9D8F5-B5FE-4553-9EE0-5DD19CDCFE72}">
          <x14:formula1>
            <xm:f>'Rotation List'!$A$6:$A$32</xm:f>
          </x14:formula1>
          <xm:sqref>S12:U12 F5:H5 H47 K4:M4 D8:E9 D7 D45 R5:T5 N7:P7 O8:Q8 G6:I6 S6:U6 U8:W8 L5:N5 M6:O6 O14:Q14 P9:R9 Q4:S4 T7:V7 V9:W9 W10 Y5:AA5 Z6:AA6 Y9 Y4:Z4 AA7 AD6:AD8 AF4:AH4 AG5:AI5 AH6:AJ6 AJ8:AL8 AI7:AK7 AE8:AF8 AE7 AE9:AG9 AL4:AN4 AM5:AO5 AN6:AP6 AP8:AR8 AO7:AQ7 AK9:AM9 AR4:AT4 AS5:AU5 AT6:AV6 AV8:AX8 AU7:AW7 AQ9:AS9 AX4:AZ4 AY5:BA5 AZ6:BB6 BB8 BA7:BB7 AW9:AY9 F11:H11 H7:J7 I14:K14 H13:J13 D14:E15 D13 R11:T11 E4:G4 N13:P13 J9:L9 P21:R21 Q10:S10 L11:N11 I8:K8 E16:G16 P15:R15 M12:O12 T13:V13 V15:W15 W16 Y11:AA11 Z12:AA12 Y15 Y10:Z10 AA13 AD12:AD14 AF10:AH10 AG11:AI11 AH12:AJ12 AJ14:AL14 AI13:AK13 AE14:AF14 AE13 AE15:AG15 AL10:AN10 AM11:AO11 AN12:AP12 AP14:AR14 AO13:AQ13 AK15:AM15 AR10:AT10 AS11:AU11 AT12:AV12 AV14:AX14 AU13:AW13 AQ15:AS15 AX10:AZ10 AY11:BA11 AZ12:BB12 BB14 BA13:BB13 AW15:AY15 F15 G18:I18 F39 G12:I12 D19 R17:T17 N19:P19 K10:M10 G48:I48 S18:U18 U20:W20 L17:N17 F17:H17 I26:K26 J21:L21 Q16:S16 T49:V49 P33:R33 Y17:AA17 Z18:AA18 Y21 Y16:Z16 AA19 AD18:AD20 AF16:AH16 AG17:AI17 AH18:AJ18 AJ20:AL20 AI19:AK19 AE20:AF20 AE19 AE21:AG21 AL16:AN16 AM17:AO17 AN18:AP18 AP20:AR20 AO19:AQ19 AK21:AM21 AR16:AT16 AS17:AU17 AT18:AV18 AV20:AX20 AU19:AW19 AQ21:AS21 AX16:AZ16 AY17:BA17 AZ18:BB18 BB20 BA19:BB19 AW21:AY21 W21:W22 AY59:BA59 U56 J33:L33 D26:E27 D25 D20:E21 R23:T23 O26:Q26 F35:H35 N25:P25 U26:W26 E58:G58 M24:O24 J27:L27 H19:J19 M18:O18 T25:V25 Q22:S22 V21 Y23:AA23 Z24:AA24 Y27 Y22:Z22 AA25 AD24:AD26 AF22:AH22 AG23:AI23 AH24:AJ24 AJ26:AL26 AI25:AK25 AE26:AF26 AE25 AE27:AG27 AL22:AN22 AM23:AO23 AN24:AP24 AP26:AR26 AO25:AQ25 AK27:AM27 AR22:AT22 AS23:AU23 AT24:AV24 AV26:AX26 AU25:AW25 AQ27:AS27 AX22:AZ22 AY23:BA23 AZ24:BB24 BB26 BA25:BB25 AW27:AY27 E28:G28 F29:H29 E22:G22 I32:K32 H31:J31 D32:E32 D31 AV56:AX56 R29:T29 N31:P31 O32:Q32 F23:H23 U32:W32 L29:N29 H25:J25 F27 L23:N23 O20:Q20 T31:V31 V33:W33 W27:W28 Y29:AA29 Z30:AA30 Y33 Y28:Z28 AA31 AD30:AD32 AF28:AH28 AG29:AI29 AH30:AJ30 AJ32:AL32 AI31:AK31 AE32:AF32 AE31 AE33:AG33 AL28:AN28 AM29:AO29 AN30:AP30 AP32:AR32 AO31:AQ31 AK33:AM33 AR28:AT28 AS29:AU29 AT30:AV30 AV32:AX32 AU31:AW31 AQ33:AS33 AX28:AZ28 AY29:BA29 AZ30:BB30 BB32 BA31:BB31 AW33:AY33 E34:G34 G36:I36 I38:K38 G30:I30 D38:E39 D37 D33:F33 K16:M16 N37:P37 O38:Q38 G24:I24 M30:O30 T19:V19 L35:N35 H37:J37 J39:L39 K34:M34 K28:M28 T37:V37 V39:W39 U38:W38 Y35:AA35 Z36:AA36 Y39 Y34:Z34 AA37 AT54:AV54 AF34:AH34 AG35:AI35 AH36:AJ36 AJ38:AL38 AI37:AK37 Q34:S34 AE37 AE39:AG39 AL34:AN34 AM35:AO35 AN36:AP36 AP38:AR38 AO37:AQ37 AK39:AM39 AR34:AT34 AS35:AU35 AT36:AV36 AV38:AX38 AU37:AW37 AQ39:AS39 AX34:AZ34 AY35:BA35 AZ36:BB36 BB38 BA37:BB37 AW39:AY39 W34 Q28:S28 G42:I42 W52 H43:J43 D44:E44 D43 R41:T41 L47:N47 K40:M40 E40:G40 M36:O36 R53:T53 L41:N41 W40 J45:L45 AX58:AZ58 P27:R27 T43:V43 Q40:S40 V45 Y41:AA41 Z42:AA42 Y45 Y40:Z40 AA43 AD42:AD44 S36:U36 AG41:AI41 AD38:AF38 AF40:AH40 AI43:AK43 AE44:AF44 AE43 AE45:AG45 AL40:AN40 AM41:AO41 AN42:AP42 AP44:AR44 AO43:AQ43 AK45:AM45 AR40:AT40 AS41:AU41 AT42:AV42 AV44:AX44 AU43:AW43 AQ45:AS45 AX40:AZ40 AY41:BA41 AZ42:BB42 BB44 BA43:BB43 AW45:AY45 J15:L15 F21 F51 I50:K50 H49:J49 D50:E51 D49 E45:E46 R47:T47 N49:P49 I44:K44 L53:N53 S48:U48 U50:W50 K46:M46 M48:O48 J51:L51 P51:R51 M42:O42 P45:R45 V51:W51 W45:W46 Y47:AA47 Z48:AA48 Y51 Y46:Z46 AA49 AD48:AD50 AF46:AH46 AG47:AI47 AH48:AJ48 AJ50:AL50 AI49:AK49 AE50:AF50 AE49 AE51:AG51 AH42:AJ42 AM47:AO47 AJ44:AL44 AL46:AN46 AO49:AQ49 AK51:AM51 AR46:AT46 AS47:AU47 AT48:AV48 AV50:AX50 AU49:AW49 AQ51:AS51 AX46:AZ46 AY47:BA47 AZ48:BB48 BB50 BA49:BB49 AW51:AY51 F53:H53 G54:I54 I56:K56 H55:J55 D56:E57 D55 E52:G52 Q46:S46 N55:P55 O56:Q56 O50:Q50 Q52:S52 K52:M52 M54:O54 F41:H41 P57:R57 N43:P43 T55:V55 P39:R39 V56:W57 Y53:AA53 Z54:AA54 Y57 Y52:Z52 AA55 AD54:AD56 AF52:AH52 AG53:AI53 AH54:AJ54 AJ56:AL56 AI55:AK55 AE56:AF56 AE55 AE57:AG57 AL52:AN52 AM53:AO53 AN54:AP54 AP56:AR56 AO55:AQ55 AK57:AM57 AN48:AP48 AS53:AU53 AP50:AR50 AR52:AT52 AU55:AW55 AQ57:AS57 AX52:AZ52 AY53:BA53 AZ54:BB54 BB56 BA55:BB55 AW57:AY57 F57 F59:H59 S24:U24 K58:M58 L59:N59 J57:L57 W58 Y59:AA59 Y58:Z58 AF58:AH58 AG59:AI59 AL58:AN58 AM59:AO59 AR58:AT58 AS59:AU59 AD36:AD37 V27 O44:Q44 S54:U54 F46:G47 Q58:S58 F45 R59:T59 R35:T35 E10:G10 I20:K20 U44:W44 K22:M22 S30:U30 S42:U42 F9 U14:W14 W4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8AE48-36B3-4754-865B-B3FC7C6CDC13}">
  <dimension ref="A1:BN215"/>
  <sheetViews>
    <sheetView topLeftCell="A106" workbookViewId="0">
      <selection activeCell="D130" sqref="D130"/>
    </sheetView>
  </sheetViews>
  <sheetFormatPr defaultRowHeight="15.75"/>
  <cols>
    <col min="2" max="2" width="21.25" customWidth="1"/>
  </cols>
  <sheetData>
    <row r="1" spans="1:66">
      <c r="B1" t="s">
        <v>132</v>
      </c>
      <c r="C1" s="3">
        <v>46204</v>
      </c>
      <c r="D1" s="3">
        <v>46209</v>
      </c>
      <c r="E1" s="3">
        <v>46216</v>
      </c>
      <c r="F1" s="3">
        <v>46223</v>
      </c>
      <c r="G1" s="3">
        <v>46230</v>
      </c>
      <c r="H1" s="3">
        <v>46237</v>
      </c>
      <c r="I1" s="3">
        <v>46244</v>
      </c>
      <c r="J1" s="3">
        <v>46251</v>
      </c>
      <c r="K1" s="3">
        <v>46258</v>
      </c>
      <c r="L1" s="3">
        <v>46265</v>
      </c>
      <c r="M1" s="3">
        <v>46272</v>
      </c>
      <c r="N1" s="3">
        <v>46279</v>
      </c>
      <c r="O1" s="3">
        <v>46286</v>
      </c>
      <c r="P1" s="3">
        <v>46293</v>
      </c>
      <c r="Q1" s="3">
        <v>46300</v>
      </c>
      <c r="R1" s="3">
        <v>46307</v>
      </c>
      <c r="S1" s="3">
        <v>46314</v>
      </c>
      <c r="T1" s="3">
        <v>46321</v>
      </c>
      <c r="U1" s="3">
        <v>46328</v>
      </c>
      <c r="V1" s="3">
        <v>46335</v>
      </c>
      <c r="W1" s="3">
        <v>46342</v>
      </c>
      <c r="X1" s="4">
        <v>46349</v>
      </c>
      <c r="Y1" s="3">
        <v>46356</v>
      </c>
      <c r="Z1" s="3">
        <v>46363</v>
      </c>
      <c r="AA1" s="3">
        <v>46370</v>
      </c>
      <c r="AB1" s="4">
        <v>46377</v>
      </c>
      <c r="AC1" s="4">
        <v>46384</v>
      </c>
      <c r="AD1" s="3">
        <v>46026</v>
      </c>
      <c r="AE1" s="3">
        <v>46033</v>
      </c>
      <c r="AF1" s="3">
        <v>46040</v>
      </c>
      <c r="AG1" s="3">
        <v>46047</v>
      </c>
      <c r="AH1" s="3">
        <v>46054</v>
      </c>
      <c r="AI1" s="3">
        <v>46061</v>
      </c>
      <c r="AJ1" s="3">
        <v>46068</v>
      </c>
      <c r="AK1" s="3">
        <v>46075</v>
      </c>
      <c r="AL1" s="3">
        <v>46082</v>
      </c>
      <c r="AM1" s="3">
        <v>46089</v>
      </c>
      <c r="AN1" s="3">
        <v>46096</v>
      </c>
      <c r="AO1" s="3">
        <v>46103</v>
      </c>
      <c r="AP1" s="3">
        <v>46110</v>
      </c>
      <c r="AQ1" s="3">
        <v>46117</v>
      </c>
      <c r="AR1" s="3">
        <v>46124</v>
      </c>
      <c r="AS1" s="3">
        <v>46131</v>
      </c>
      <c r="AT1" s="3">
        <v>46138</v>
      </c>
      <c r="AU1" s="3">
        <v>46145</v>
      </c>
      <c r="AV1" s="3">
        <v>46152</v>
      </c>
      <c r="AW1" s="3">
        <v>46159</v>
      </c>
      <c r="AX1" s="3">
        <v>46166</v>
      </c>
      <c r="AY1" s="3">
        <v>46173</v>
      </c>
      <c r="AZ1" s="3">
        <v>46180</v>
      </c>
      <c r="BA1" s="5">
        <v>46187</v>
      </c>
      <c r="BB1" s="3">
        <v>46194</v>
      </c>
      <c r="BC1" s="6">
        <v>46201</v>
      </c>
      <c r="BE1" t="s">
        <v>133</v>
      </c>
      <c r="BF1" t="s">
        <v>134</v>
      </c>
      <c r="BG1" t="s">
        <v>135</v>
      </c>
      <c r="BH1" t="s">
        <v>136</v>
      </c>
      <c r="BI1" t="s">
        <v>129</v>
      </c>
      <c r="BJ1" t="s">
        <v>137</v>
      </c>
      <c r="BK1" t="s">
        <v>138</v>
      </c>
      <c r="BL1" t="s">
        <v>139</v>
      </c>
      <c r="BM1" t="s">
        <v>140</v>
      </c>
      <c r="BN1" t="s">
        <v>141</v>
      </c>
    </row>
    <row r="2" spans="1:66">
      <c r="X2" t="s">
        <v>142</v>
      </c>
      <c r="AB2" t="s">
        <v>143</v>
      </c>
      <c r="AC2" t="s">
        <v>144</v>
      </c>
    </row>
    <row r="3" spans="1:66">
      <c r="A3" s="1" t="s">
        <v>2</v>
      </c>
    </row>
    <row r="4" spans="1:66">
      <c r="A4" t="s">
        <v>3</v>
      </c>
      <c r="B4" t="s">
        <v>213</v>
      </c>
      <c r="C4" s="12"/>
      <c r="D4" t="s">
        <v>4</v>
      </c>
      <c r="E4" s="10" t="s">
        <v>173</v>
      </c>
      <c r="F4" s="10" t="s">
        <v>173</v>
      </c>
      <c r="G4" s="11" t="s">
        <v>214</v>
      </c>
      <c r="H4" s="10" t="s">
        <v>172</v>
      </c>
      <c r="I4" s="11" t="s">
        <v>214</v>
      </c>
      <c r="J4" t="s">
        <v>4</v>
      </c>
      <c r="K4" s="10" t="s">
        <v>170</v>
      </c>
      <c r="L4" s="11" t="s">
        <v>214</v>
      </c>
      <c r="M4" s="10" t="s">
        <v>170</v>
      </c>
      <c r="N4" s="11"/>
      <c r="O4" s="10" t="s">
        <v>170</v>
      </c>
      <c r="P4" t="s">
        <v>4</v>
      </c>
      <c r="Q4" s="10" t="s">
        <v>165</v>
      </c>
      <c r="R4" s="11"/>
      <c r="S4" s="10" t="s">
        <v>165</v>
      </c>
      <c r="T4" s="11"/>
      <c r="U4" s="10" t="s">
        <v>165</v>
      </c>
      <c r="V4" t="s">
        <v>4</v>
      </c>
      <c r="W4" s="10" t="s">
        <v>153</v>
      </c>
      <c r="X4" s="12"/>
      <c r="Y4" s="10" t="s">
        <v>153</v>
      </c>
      <c r="Z4" s="10" t="s">
        <v>153</v>
      </c>
      <c r="AA4" s="11"/>
      <c r="AB4" s="12"/>
      <c r="AC4" s="12"/>
      <c r="AD4" s="11"/>
      <c r="AE4" t="s">
        <v>4</v>
      </c>
      <c r="AF4" s="10"/>
      <c r="AG4" s="10"/>
      <c r="AH4" s="10"/>
      <c r="AI4" s="11"/>
      <c r="AJ4" s="11"/>
      <c r="AK4" t="s">
        <v>4</v>
      </c>
      <c r="AL4" s="10"/>
      <c r="AM4" s="10"/>
      <c r="AN4" s="10"/>
      <c r="AO4" s="11"/>
      <c r="AP4" s="11"/>
      <c r="AQ4" t="s">
        <v>4</v>
      </c>
      <c r="AR4" s="10"/>
      <c r="AS4" s="10"/>
      <c r="AT4" s="10"/>
      <c r="AU4" s="11"/>
      <c r="AV4" s="11"/>
      <c r="AW4" t="s">
        <v>4</v>
      </c>
      <c r="AX4" s="10"/>
      <c r="AY4" s="10"/>
      <c r="AZ4" s="10"/>
      <c r="BA4" s="11"/>
      <c r="BB4" s="11"/>
      <c r="BC4" s="12"/>
      <c r="BF4">
        <f>COUNTIF(D4:BC4, "rSLUH*")</f>
        <v>3</v>
      </c>
      <c r="BG4">
        <f>COUNTIF(D4:BC4, "rVA*")</f>
        <v>0</v>
      </c>
      <c r="BH4">
        <f>COUNTIF(D4:BC4, "rMICU*")</f>
        <v>3</v>
      </c>
      <c r="BI4">
        <f>COUNTIF(D4:BC4, "rNF*")</f>
        <v>2</v>
      </c>
      <c r="BJ4">
        <f>COUNTIF(D4:BC4, "bro*")</f>
        <v>3</v>
      </c>
      <c r="BK4">
        <f>COUNTIF(D4:BC4, "rCar*")</f>
        <v>0</v>
      </c>
      <c r="BL4">
        <f>COUNTIF(D4:BC4, "ID*")</f>
        <v>0</v>
      </c>
      <c r="BM4">
        <f>COUNTIF(D4:BC4, "jeopardy")</f>
        <v>0</v>
      </c>
    </row>
    <row r="5" spans="1:66">
      <c r="A5" t="s">
        <v>5</v>
      </c>
      <c r="B5" t="s">
        <v>215</v>
      </c>
      <c r="C5" s="12"/>
      <c r="D5" s="11" t="s">
        <v>214</v>
      </c>
      <c r="E5" t="s">
        <v>4</v>
      </c>
      <c r="F5" s="10" t="s">
        <v>164</v>
      </c>
      <c r="G5" s="11" t="s">
        <v>214</v>
      </c>
      <c r="H5" s="10" t="s">
        <v>164</v>
      </c>
      <c r="I5" s="11" t="s">
        <v>214</v>
      </c>
      <c r="J5" s="10" t="s">
        <v>164</v>
      </c>
      <c r="K5" t="s">
        <v>4</v>
      </c>
      <c r="L5" s="10" t="s">
        <v>178</v>
      </c>
      <c r="M5" s="10" t="s">
        <v>178</v>
      </c>
      <c r="N5" s="10" t="s">
        <v>178</v>
      </c>
      <c r="O5" s="11"/>
      <c r="P5" s="11"/>
      <c r="Q5" t="s">
        <v>4</v>
      </c>
      <c r="R5" s="10"/>
      <c r="S5" s="10"/>
      <c r="T5" s="10"/>
      <c r="U5" s="11"/>
      <c r="V5" s="11"/>
      <c r="W5" t="s">
        <v>4</v>
      </c>
      <c r="X5" s="12"/>
      <c r="Y5" s="10"/>
      <c r="Z5" s="10"/>
      <c r="AA5" s="10"/>
      <c r="AB5" s="12"/>
      <c r="AC5" s="12"/>
      <c r="AD5" s="11"/>
      <c r="AE5" s="11"/>
      <c r="AF5" t="s">
        <v>4</v>
      </c>
      <c r="AG5" s="10"/>
      <c r="AH5" s="10"/>
      <c r="AI5" s="10"/>
      <c r="AJ5" s="11"/>
      <c r="AK5" s="11"/>
      <c r="AL5" t="s">
        <v>4</v>
      </c>
      <c r="AM5" s="10"/>
      <c r="AN5" s="10"/>
      <c r="AO5" s="10"/>
      <c r="AP5" s="11"/>
      <c r="AQ5" s="11"/>
      <c r="AR5" t="s">
        <v>4</v>
      </c>
      <c r="AS5" s="10"/>
      <c r="AT5" s="10"/>
      <c r="AU5" s="10"/>
      <c r="AV5" s="11"/>
      <c r="AW5" s="11"/>
      <c r="AX5" t="s">
        <v>4</v>
      </c>
      <c r="AY5" s="10"/>
      <c r="AZ5" s="10"/>
      <c r="BA5" s="10"/>
      <c r="BB5" s="11"/>
      <c r="BC5" s="12"/>
      <c r="BF5">
        <f t="shared" ref="BF5:BF59" si="0">COUNTIF(D5:BC5, "rSLUH*")</f>
        <v>0</v>
      </c>
      <c r="BG5">
        <f t="shared" ref="BG5:BG59" si="1">COUNTIF(D5:BC5, "rVA*")</f>
        <v>0</v>
      </c>
      <c r="BH5">
        <f t="shared" ref="BH5:BH59" si="2">COUNTIF(D5:BC5, "rMICU*")</f>
        <v>3</v>
      </c>
      <c r="BI5">
        <f t="shared" ref="BI5:BI59" si="3">COUNTIF(D5:BC5, "rNF*")</f>
        <v>0</v>
      </c>
      <c r="BJ5">
        <f t="shared" ref="BJ5:BJ59" si="4">COUNTIF(D5:BC5, "bro*")</f>
        <v>0</v>
      </c>
      <c r="BK5">
        <f t="shared" ref="BK5:BK59" si="5">COUNTIF(D5:BC5, "rCar*")</f>
        <v>0</v>
      </c>
      <c r="BL5">
        <f t="shared" ref="BL5:BL59" si="6">COUNTIF(D5:BC5, "ID*")</f>
        <v>3</v>
      </c>
      <c r="BM5">
        <f t="shared" ref="BM5:BM58" si="7">COUNTIF(D5:BC5, "jeopardy")</f>
        <v>0</v>
      </c>
    </row>
    <row r="6" spans="1:66">
      <c r="A6" t="s">
        <v>6</v>
      </c>
      <c r="B6" t="s">
        <v>216</v>
      </c>
      <c r="C6" s="12"/>
      <c r="D6" s="11" t="s">
        <v>214</v>
      </c>
      <c r="E6" s="11" t="s">
        <v>214</v>
      </c>
      <c r="F6" t="s">
        <v>4</v>
      </c>
      <c r="G6" s="10" t="s">
        <v>173</v>
      </c>
      <c r="H6" s="10" t="s">
        <v>173</v>
      </c>
      <c r="I6" s="11" t="s">
        <v>214</v>
      </c>
      <c r="J6" s="10" t="s">
        <v>172</v>
      </c>
      <c r="K6" s="11" t="s">
        <v>214</v>
      </c>
      <c r="L6" t="s">
        <v>4</v>
      </c>
      <c r="M6" s="10" t="s">
        <v>167</v>
      </c>
      <c r="N6" s="11"/>
      <c r="O6" s="10" t="s">
        <v>167</v>
      </c>
      <c r="P6" s="11"/>
      <c r="Q6" s="10" t="s">
        <v>167</v>
      </c>
      <c r="R6" t="s">
        <v>4</v>
      </c>
      <c r="S6" s="10" t="s">
        <v>167</v>
      </c>
      <c r="T6" s="11"/>
      <c r="U6" s="10" t="s">
        <v>167</v>
      </c>
      <c r="V6" s="11"/>
      <c r="W6" s="10" t="s">
        <v>167</v>
      </c>
      <c r="X6" s="12"/>
      <c r="Y6" t="s">
        <v>4</v>
      </c>
      <c r="Z6" s="10"/>
      <c r="AA6" s="10"/>
      <c r="AB6" s="12"/>
      <c r="AC6" s="12"/>
      <c r="AD6" s="10"/>
      <c r="AE6" s="11"/>
      <c r="AF6" s="11"/>
      <c r="AG6" t="s">
        <v>4</v>
      </c>
      <c r="AH6" s="10"/>
      <c r="AI6" s="10"/>
      <c r="AJ6" s="10"/>
      <c r="AK6" s="11"/>
      <c r="AL6" s="11"/>
      <c r="AM6" t="s">
        <v>4</v>
      </c>
      <c r="AN6" s="10"/>
      <c r="AO6" s="10"/>
      <c r="AP6" s="10"/>
      <c r="AQ6" s="11"/>
      <c r="AR6" s="11"/>
      <c r="AS6" t="s">
        <v>4</v>
      </c>
      <c r="AT6" s="10"/>
      <c r="AU6" s="10"/>
      <c r="AV6" s="10"/>
      <c r="AW6" s="11"/>
      <c r="AX6" s="11"/>
      <c r="AY6" t="s">
        <v>4</v>
      </c>
      <c r="AZ6" s="10"/>
      <c r="BA6" s="10"/>
      <c r="BB6" s="10"/>
      <c r="BC6" s="12"/>
      <c r="BF6">
        <f t="shared" si="0"/>
        <v>0</v>
      </c>
      <c r="BG6">
        <f t="shared" si="1"/>
        <v>0</v>
      </c>
      <c r="BH6">
        <f t="shared" si="2"/>
        <v>0</v>
      </c>
      <c r="BI6">
        <f t="shared" si="3"/>
        <v>2</v>
      </c>
      <c r="BJ6">
        <f t="shared" si="4"/>
        <v>0</v>
      </c>
      <c r="BK6">
        <f t="shared" si="5"/>
        <v>6</v>
      </c>
      <c r="BL6">
        <f t="shared" si="6"/>
        <v>0</v>
      </c>
      <c r="BM6">
        <f t="shared" si="7"/>
        <v>0</v>
      </c>
    </row>
    <row r="7" spans="1:66">
      <c r="A7" t="s">
        <v>7</v>
      </c>
      <c r="B7" t="s">
        <v>217</v>
      </c>
      <c r="C7" s="12"/>
      <c r="D7" s="10"/>
      <c r="E7" s="11" t="s">
        <v>214</v>
      </c>
      <c r="F7" s="11" t="s">
        <v>214</v>
      </c>
      <c r="G7" t="s">
        <v>4</v>
      </c>
      <c r="H7" s="10" t="s">
        <v>161</v>
      </c>
      <c r="I7" s="10" t="s">
        <v>161</v>
      </c>
      <c r="J7" s="10" t="s">
        <v>161</v>
      </c>
      <c r="K7" s="11" t="s">
        <v>214</v>
      </c>
      <c r="L7" s="11" t="s">
        <v>214</v>
      </c>
      <c r="M7" t="s">
        <v>4</v>
      </c>
      <c r="N7" s="10"/>
      <c r="O7" s="10"/>
      <c r="P7" s="10"/>
      <c r="Q7" s="11"/>
      <c r="R7" s="11"/>
      <c r="S7" t="s">
        <v>4</v>
      </c>
      <c r="T7" s="10"/>
      <c r="U7" s="10"/>
      <c r="V7" s="10"/>
      <c r="W7" s="11"/>
      <c r="X7" s="12"/>
      <c r="Y7" s="11"/>
      <c r="Z7" t="s">
        <v>4</v>
      </c>
      <c r="AA7" s="10"/>
      <c r="AB7" s="12"/>
      <c r="AC7" s="12"/>
      <c r="AD7" s="10"/>
      <c r="AE7" s="10"/>
      <c r="AF7" s="11"/>
      <c r="AG7" s="11"/>
      <c r="AH7" t="s">
        <v>4</v>
      </c>
      <c r="AI7" s="10"/>
      <c r="AJ7" s="10"/>
      <c r="AK7" s="10"/>
      <c r="AL7" s="11"/>
      <c r="AM7" s="11"/>
      <c r="AN7" t="s">
        <v>4</v>
      </c>
      <c r="AO7" s="10"/>
      <c r="AP7" s="10"/>
      <c r="AQ7" s="10"/>
      <c r="AR7" s="11"/>
      <c r="AS7" s="11"/>
      <c r="AT7" t="s">
        <v>4</v>
      </c>
      <c r="AU7" s="10"/>
      <c r="AV7" s="10"/>
      <c r="AW7" s="10"/>
      <c r="AX7" s="11"/>
      <c r="AY7" s="11"/>
      <c r="AZ7" t="s">
        <v>4</v>
      </c>
      <c r="BA7" s="10"/>
      <c r="BB7" s="10"/>
      <c r="BC7" s="12"/>
      <c r="BF7">
        <f t="shared" si="0"/>
        <v>0</v>
      </c>
      <c r="BG7">
        <f t="shared" si="1"/>
        <v>3</v>
      </c>
      <c r="BH7">
        <f t="shared" si="2"/>
        <v>0</v>
      </c>
      <c r="BI7">
        <f t="shared" si="3"/>
        <v>0</v>
      </c>
      <c r="BJ7">
        <f t="shared" si="4"/>
        <v>0</v>
      </c>
      <c r="BK7">
        <f t="shared" si="5"/>
        <v>0</v>
      </c>
      <c r="BL7">
        <f t="shared" si="6"/>
        <v>0</v>
      </c>
      <c r="BM7">
        <f t="shared" si="7"/>
        <v>0</v>
      </c>
    </row>
    <row r="8" spans="1:66">
      <c r="A8" t="s">
        <v>8</v>
      </c>
      <c r="B8" t="s">
        <v>218</v>
      </c>
      <c r="C8" s="12"/>
      <c r="D8" s="10"/>
      <c r="E8" s="10"/>
      <c r="F8" s="11" t="s">
        <v>214</v>
      </c>
      <c r="G8" s="11" t="s">
        <v>214</v>
      </c>
      <c r="H8" t="s">
        <v>4</v>
      </c>
      <c r="I8" s="10" t="s">
        <v>173</v>
      </c>
      <c r="J8" s="10" t="s">
        <v>173</v>
      </c>
      <c r="K8" s="11" t="s">
        <v>214</v>
      </c>
      <c r="L8" s="10" t="s">
        <v>172</v>
      </c>
      <c r="M8" s="11"/>
      <c r="N8" t="s">
        <v>4</v>
      </c>
      <c r="O8" s="10" t="s">
        <v>178</v>
      </c>
      <c r="P8" s="10" t="s">
        <v>178</v>
      </c>
      <c r="Q8" s="10" t="s">
        <v>178</v>
      </c>
      <c r="R8" s="11"/>
      <c r="S8" s="11"/>
      <c r="T8" t="s">
        <v>4</v>
      </c>
      <c r="U8" s="10"/>
      <c r="V8" s="10"/>
      <c r="W8" s="10"/>
      <c r="X8" s="12"/>
      <c r="Y8" s="11"/>
      <c r="Z8" s="11"/>
      <c r="AA8" t="s">
        <v>4</v>
      </c>
      <c r="AB8" s="12"/>
      <c r="AC8" s="12"/>
      <c r="AD8" s="10"/>
      <c r="AE8" s="10"/>
      <c r="AF8" s="10"/>
      <c r="AG8" s="11"/>
      <c r="AH8" s="11"/>
      <c r="AI8" t="s">
        <v>4</v>
      </c>
      <c r="AJ8" s="10"/>
      <c r="AK8" s="10"/>
      <c r="AL8" s="10"/>
      <c r="AM8" s="11"/>
      <c r="AN8" s="11"/>
      <c r="AO8" t="s">
        <v>4</v>
      </c>
      <c r="AP8" s="10"/>
      <c r="AQ8" s="10"/>
      <c r="AR8" s="10"/>
      <c r="AS8" s="11"/>
      <c r="AT8" s="11"/>
      <c r="AU8" t="s">
        <v>4</v>
      </c>
      <c r="AV8" s="10"/>
      <c r="AW8" s="10"/>
      <c r="AX8" s="10"/>
      <c r="AY8" s="11"/>
      <c r="AZ8" s="11"/>
      <c r="BA8" t="s">
        <v>4</v>
      </c>
      <c r="BB8" s="10"/>
      <c r="BC8" s="12"/>
      <c r="BF8">
        <f t="shared" si="0"/>
        <v>0</v>
      </c>
      <c r="BG8">
        <f t="shared" si="1"/>
        <v>0</v>
      </c>
      <c r="BH8">
        <f t="shared" si="2"/>
        <v>0</v>
      </c>
      <c r="BI8">
        <f t="shared" si="3"/>
        <v>2</v>
      </c>
      <c r="BJ8">
        <f t="shared" si="4"/>
        <v>0</v>
      </c>
      <c r="BK8">
        <f t="shared" si="5"/>
        <v>0</v>
      </c>
      <c r="BL8">
        <f t="shared" si="6"/>
        <v>3</v>
      </c>
      <c r="BM8">
        <f t="shared" si="7"/>
        <v>0</v>
      </c>
    </row>
    <row r="9" spans="1:66">
      <c r="A9" t="s">
        <v>9</v>
      </c>
      <c r="B9" t="s">
        <v>219</v>
      </c>
      <c r="C9" s="12"/>
      <c r="D9" s="10" t="s">
        <v>174</v>
      </c>
      <c r="E9" s="10" t="s">
        <v>174</v>
      </c>
      <c r="F9" s="11" t="s">
        <v>214</v>
      </c>
      <c r="G9" s="10" t="s">
        <v>172</v>
      </c>
      <c r="H9" s="11" t="s">
        <v>214</v>
      </c>
      <c r="I9" t="s">
        <v>4</v>
      </c>
      <c r="J9" s="10" t="s">
        <v>165</v>
      </c>
      <c r="K9" s="11" t="s">
        <v>214</v>
      </c>
      <c r="L9" s="10" t="s">
        <v>165</v>
      </c>
      <c r="M9" s="11"/>
      <c r="N9" s="10" t="s">
        <v>165</v>
      </c>
      <c r="O9" t="s">
        <v>4</v>
      </c>
      <c r="P9" s="10" t="s">
        <v>170</v>
      </c>
      <c r="Q9" s="11"/>
      <c r="R9" s="10" t="s">
        <v>170</v>
      </c>
      <c r="S9" s="11"/>
      <c r="T9" s="10" t="s">
        <v>170</v>
      </c>
      <c r="U9" t="s">
        <v>4</v>
      </c>
      <c r="V9" s="10"/>
      <c r="W9" s="10"/>
      <c r="X9" s="12"/>
      <c r="Y9" s="10"/>
      <c r="Z9" s="11"/>
      <c r="AA9" s="11"/>
      <c r="AB9" s="12"/>
      <c r="AC9" s="12"/>
      <c r="AD9" t="s">
        <v>4</v>
      </c>
      <c r="AE9" s="10"/>
      <c r="AF9" s="10"/>
      <c r="AG9" s="10"/>
      <c r="AH9" s="11"/>
      <c r="AI9" s="11"/>
      <c r="AJ9" t="s">
        <v>4</v>
      </c>
      <c r="AK9" s="10"/>
      <c r="AL9" s="10"/>
      <c r="AM9" s="10"/>
      <c r="AN9" s="11"/>
      <c r="AO9" s="11"/>
      <c r="AP9" t="s">
        <v>4</v>
      </c>
      <c r="AQ9" s="10"/>
      <c r="AR9" s="10"/>
      <c r="AS9" s="10"/>
      <c r="AT9" s="11"/>
      <c r="AU9" s="11"/>
      <c r="AV9" t="s">
        <v>4</v>
      </c>
      <c r="AW9" s="10"/>
      <c r="AX9" s="10"/>
      <c r="AY9" s="10"/>
      <c r="AZ9" s="11"/>
      <c r="BA9" s="11"/>
      <c r="BB9" t="s">
        <v>4</v>
      </c>
      <c r="BC9" s="12"/>
      <c r="BF9">
        <f t="shared" si="0"/>
        <v>0</v>
      </c>
      <c r="BG9">
        <f t="shared" si="1"/>
        <v>0</v>
      </c>
      <c r="BH9">
        <f t="shared" si="2"/>
        <v>3</v>
      </c>
      <c r="BI9">
        <f t="shared" si="3"/>
        <v>2</v>
      </c>
      <c r="BJ9">
        <f t="shared" si="4"/>
        <v>3</v>
      </c>
      <c r="BK9">
        <f t="shared" si="5"/>
        <v>0</v>
      </c>
      <c r="BL9">
        <f t="shared" si="6"/>
        <v>0</v>
      </c>
      <c r="BM9">
        <f t="shared" si="7"/>
        <v>0</v>
      </c>
    </row>
    <row r="10" spans="1:66">
      <c r="A10" t="s">
        <v>10</v>
      </c>
      <c r="B10" t="s">
        <v>220</v>
      </c>
      <c r="C10" s="12"/>
      <c r="D10" t="s">
        <v>4</v>
      </c>
      <c r="E10" s="10" t="s">
        <v>161</v>
      </c>
      <c r="F10" s="10" t="s">
        <v>161</v>
      </c>
      <c r="G10" s="10" t="s">
        <v>161</v>
      </c>
      <c r="H10" s="11" t="s">
        <v>214</v>
      </c>
      <c r="I10" s="11" t="s">
        <v>214</v>
      </c>
      <c r="J10" t="s">
        <v>4</v>
      </c>
      <c r="K10" s="10" t="s">
        <v>173</v>
      </c>
      <c r="L10" s="10" t="s">
        <v>173</v>
      </c>
      <c r="M10" s="11"/>
      <c r="N10" s="10" t="s">
        <v>172</v>
      </c>
      <c r="O10" s="11"/>
      <c r="P10" t="s">
        <v>4</v>
      </c>
      <c r="Q10" s="10" t="s">
        <v>161</v>
      </c>
      <c r="R10" s="10" t="s">
        <v>161</v>
      </c>
      <c r="S10" s="10" t="s">
        <v>161</v>
      </c>
      <c r="T10" s="11"/>
      <c r="U10" s="11"/>
      <c r="V10" t="s">
        <v>4</v>
      </c>
      <c r="W10" s="10"/>
      <c r="X10" s="12"/>
      <c r="Y10" s="10"/>
      <c r="Z10" s="10"/>
      <c r="AA10" s="11"/>
      <c r="AB10" s="12"/>
      <c r="AC10" s="12"/>
      <c r="AD10" s="11"/>
      <c r="AE10" t="s">
        <v>4</v>
      </c>
      <c r="AF10" s="10"/>
      <c r="AG10" s="10"/>
      <c r="AH10" s="10"/>
      <c r="AI10" s="11"/>
      <c r="AJ10" s="11"/>
      <c r="AK10" t="s">
        <v>4</v>
      </c>
      <c r="AL10" s="10"/>
      <c r="AM10" s="10"/>
      <c r="AN10" s="10"/>
      <c r="AO10" s="11"/>
      <c r="AP10" s="11"/>
      <c r="AQ10" t="s">
        <v>4</v>
      </c>
      <c r="AR10" s="10"/>
      <c r="AS10" s="10"/>
      <c r="AT10" s="10"/>
      <c r="AU10" s="11"/>
      <c r="AV10" s="11"/>
      <c r="AW10" t="s">
        <v>4</v>
      </c>
      <c r="AX10" s="10"/>
      <c r="AY10" s="10"/>
      <c r="AZ10" s="10"/>
      <c r="BA10" s="11"/>
      <c r="BB10" s="11"/>
      <c r="BC10" s="12"/>
      <c r="BF10">
        <f t="shared" si="0"/>
        <v>0</v>
      </c>
      <c r="BG10">
        <f t="shared" si="1"/>
        <v>6</v>
      </c>
      <c r="BH10">
        <f t="shared" si="2"/>
        <v>0</v>
      </c>
      <c r="BI10">
        <f t="shared" si="3"/>
        <v>2</v>
      </c>
      <c r="BJ10">
        <f t="shared" si="4"/>
        <v>0</v>
      </c>
      <c r="BK10">
        <f t="shared" si="5"/>
        <v>0</v>
      </c>
      <c r="BL10">
        <f t="shared" si="6"/>
        <v>0</v>
      </c>
      <c r="BM10">
        <f t="shared" si="7"/>
        <v>0</v>
      </c>
    </row>
    <row r="11" spans="1:66">
      <c r="A11" t="s">
        <v>11</v>
      </c>
      <c r="B11" t="s">
        <v>221</v>
      </c>
      <c r="C11" s="12"/>
      <c r="D11" s="11" t="s">
        <v>214</v>
      </c>
      <c r="E11" t="s">
        <v>4</v>
      </c>
      <c r="F11" s="10" t="s">
        <v>174</v>
      </c>
      <c r="G11" s="10" t="s">
        <v>174</v>
      </c>
      <c r="H11" s="11" t="s">
        <v>214</v>
      </c>
      <c r="I11" s="10" t="s">
        <v>172</v>
      </c>
      <c r="J11" s="11" t="s">
        <v>214</v>
      </c>
      <c r="K11" t="s">
        <v>4</v>
      </c>
      <c r="L11" s="10" t="s">
        <v>167</v>
      </c>
      <c r="M11" s="11"/>
      <c r="N11" s="10" t="s">
        <v>167</v>
      </c>
      <c r="O11" s="11"/>
      <c r="P11" s="10" t="s">
        <v>167</v>
      </c>
      <c r="Q11" t="s">
        <v>4</v>
      </c>
      <c r="R11" s="10" t="s">
        <v>177</v>
      </c>
      <c r="S11" s="10" t="s">
        <v>177</v>
      </c>
      <c r="T11" s="10"/>
      <c r="U11" s="11"/>
      <c r="V11" s="11"/>
      <c r="W11" t="s">
        <v>4</v>
      </c>
      <c r="X11" s="12"/>
      <c r="Y11" s="10"/>
      <c r="Z11" s="10"/>
      <c r="AA11" s="10"/>
      <c r="AB11" s="12"/>
      <c r="AC11" s="12"/>
      <c r="AD11" s="11"/>
      <c r="AE11" s="11"/>
      <c r="AF11" t="s">
        <v>4</v>
      </c>
      <c r="AG11" s="10"/>
      <c r="AH11" s="10"/>
      <c r="AI11" s="10"/>
      <c r="AJ11" s="11"/>
      <c r="AK11" s="11"/>
      <c r="AL11" t="s">
        <v>4</v>
      </c>
      <c r="AM11" s="10"/>
      <c r="AN11" s="10"/>
      <c r="AO11" s="10"/>
      <c r="AP11" s="11"/>
      <c r="AQ11" s="11"/>
      <c r="AR11" t="s">
        <v>4</v>
      </c>
      <c r="AS11" s="10"/>
      <c r="AT11" s="10"/>
      <c r="AU11" s="10"/>
      <c r="AV11" s="11"/>
      <c r="AW11" s="11"/>
      <c r="AX11" t="s">
        <v>4</v>
      </c>
      <c r="AY11" s="10"/>
      <c r="AZ11" s="10"/>
      <c r="BA11" s="10"/>
      <c r="BB11" s="11"/>
      <c r="BC11" s="12"/>
      <c r="BF11">
        <f t="shared" si="0"/>
        <v>0</v>
      </c>
      <c r="BG11">
        <f t="shared" si="1"/>
        <v>0</v>
      </c>
      <c r="BH11">
        <f t="shared" si="2"/>
        <v>0</v>
      </c>
      <c r="BI11">
        <f t="shared" si="3"/>
        <v>4</v>
      </c>
      <c r="BJ11">
        <f t="shared" si="4"/>
        <v>0</v>
      </c>
      <c r="BK11">
        <f t="shared" si="5"/>
        <v>3</v>
      </c>
      <c r="BL11">
        <f t="shared" si="6"/>
        <v>0</v>
      </c>
      <c r="BM11">
        <f t="shared" si="7"/>
        <v>0</v>
      </c>
    </row>
    <row r="12" spans="1:66">
      <c r="A12" t="s">
        <v>12</v>
      </c>
      <c r="C12" s="12"/>
      <c r="D12" s="11" t="s">
        <v>214</v>
      </c>
      <c r="E12" s="11"/>
      <c r="F12" t="s">
        <v>4</v>
      </c>
      <c r="G12" s="10" t="s">
        <v>167</v>
      </c>
      <c r="H12" s="11" t="s">
        <v>214</v>
      </c>
      <c r="I12" s="10" t="s">
        <v>167</v>
      </c>
      <c r="J12" s="11" t="s">
        <v>214</v>
      </c>
      <c r="K12" s="10" t="s">
        <v>167</v>
      </c>
      <c r="L12" t="s">
        <v>4</v>
      </c>
      <c r="M12" s="10" t="s">
        <v>173</v>
      </c>
      <c r="N12" s="10" t="s">
        <v>173</v>
      </c>
      <c r="O12" s="11"/>
      <c r="P12" s="10" t="s">
        <v>172</v>
      </c>
      <c r="Q12" s="11"/>
      <c r="R12" t="s">
        <v>4</v>
      </c>
      <c r="S12" s="10" t="s">
        <v>166</v>
      </c>
      <c r="T12" s="11"/>
      <c r="U12" s="10" t="s">
        <v>166</v>
      </c>
      <c r="V12" s="11"/>
      <c r="W12" s="10" t="s">
        <v>166</v>
      </c>
      <c r="X12" s="12"/>
      <c r="Y12" t="s">
        <v>4</v>
      </c>
      <c r="Z12" s="10"/>
      <c r="AA12" s="10"/>
      <c r="AB12" s="12"/>
      <c r="AC12" s="12"/>
      <c r="AD12" s="10"/>
      <c r="AE12" s="11"/>
      <c r="AF12" s="11"/>
      <c r="AG12" t="s">
        <v>4</v>
      </c>
      <c r="AH12" s="10"/>
      <c r="AI12" s="10"/>
      <c r="AJ12" s="10"/>
      <c r="AK12" s="11"/>
      <c r="AL12" s="11"/>
      <c r="AM12" t="s">
        <v>4</v>
      </c>
      <c r="AN12" s="10"/>
      <c r="AO12" s="10"/>
      <c r="AP12" s="10"/>
      <c r="AQ12" s="11"/>
      <c r="AR12" s="11"/>
      <c r="AS12" t="s">
        <v>4</v>
      </c>
      <c r="AT12" s="10"/>
      <c r="AU12" s="10"/>
      <c r="AV12" s="10"/>
      <c r="AW12" s="11"/>
      <c r="AX12" s="11"/>
      <c r="AY12" t="s">
        <v>4</v>
      </c>
      <c r="AZ12" s="10"/>
      <c r="BA12" s="10"/>
      <c r="BB12" s="10"/>
      <c r="BC12" s="12"/>
      <c r="BF12">
        <f t="shared" si="0"/>
        <v>0</v>
      </c>
      <c r="BG12">
        <f t="shared" si="1"/>
        <v>0</v>
      </c>
      <c r="BH12">
        <f t="shared" si="2"/>
        <v>3</v>
      </c>
      <c r="BI12">
        <f t="shared" si="3"/>
        <v>2</v>
      </c>
      <c r="BJ12">
        <f t="shared" si="4"/>
        <v>0</v>
      </c>
      <c r="BK12">
        <f t="shared" si="5"/>
        <v>3</v>
      </c>
      <c r="BL12">
        <f t="shared" si="6"/>
        <v>0</v>
      </c>
      <c r="BM12">
        <f t="shared" si="7"/>
        <v>0</v>
      </c>
    </row>
    <row r="13" spans="1:66">
      <c r="A13" t="s">
        <v>13</v>
      </c>
      <c r="B13" t="s">
        <v>222</v>
      </c>
      <c r="C13" s="12"/>
      <c r="D13" s="10"/>
      <c r="E13" s="11"/>
      <c r="F13" s="11"/>
      <c r="G13" t="s">
        <v>4</v>
      </c>
      <c r="H13" s="10" t="s">
        <v>174</v>
      </c>
      <c r="I13" s="10" t="s">
        <v>174</v>
      </c>
      <c r="J13" s="11" t="s">
        <v>214</v>
      </c>
      <c r="K13" s="10" t="s">
        <v>172</v>
      </c>
      <c r="L13" s="11" t="s">
        <v>214</v>
      </c>
      <c r="M13" t="s">
        <v>4</v>
      </c>
      <c r="N13" s="10" t="s">
        <v>161</v>
      </c>
      <c r="O13" s="10" t="s">
        <v>161</v>
      </c>
      <c r="P13" s="10" t="s">
        <v>161</v>
      </c>
      <c r="Q13" s="11"/>
      <c r="R13" s="11"/>
      <c r="S13" t="s">
        <v>4</v>
      </c>
      <c r="T13" s="10" t="s">
        <v>161</v>
      </c>
      <c r="U13" s="10" t="s">
        <v>161</v>
      </c>
      <c r="V13" s="10" t="s">
        <v>161</v>
      </c>
      <c r="W13" s="11"/>
      <c r="X13" s="12"/>
      <c r="Y13" s="11"/>
      <c r="Z13" t="s">
        <v>4</v>
      </c>
      <c r="AA13" s="10"/>
      <c r="AB13" s="12"/>
      <c r="AC13" s="12"/>
      <c r="AD13" s="10"/>
      <c r="AE13" s="10"/>
      <c r="AF13" s="11"/>
      <c r="AG13" s="11"/>
      <c r="AH13" t="s">
        <v>4</v>
      </c>
      <c r="AI13" s="10"/>
      <c r="AJ13" s="10"/>
      <c r="AK13" s="10"/>
      <c r="AL13" s="11"/>
      <c r="AM13" s="11"/>
      <c r="AN13" t="s">
        <v>4</v>
      </c>
      <c r="AO13" s="10"/>
      <c r="AP13" s="10"/>
      <c r="AQ13" s="10"/>
      <c r="AR13" s="11"/>
      <c r="AS13" s="11"/>
      <c r="AT13" t="s">
        <v>4</v>
      </c>
      <c r="AU13" s="10"/>
      <c r="AV13" s="10"/>
      <c r="AW13" s="10"/>
      <c r="AX13" s="11"/>
      <c r="AY13" s="11"/>
      <c r="AZ13" t="s">
        <v>4</v>
      </c>
      <c r="BA13" s="10"/>
      <c r="BB13" s="10"/>
      <c r="BC13" s="12"/>
      <c r="BF13">
        <f t="shared" si="0"/>
        <v>0</v>
      </c>
      <c r="BG13">
        <f t="shared" si="1"/>
        <v>6</v>
      </c>
      <c r="BH13">
        <f t="shared" si="2"/>
        <v>0</v>
      </c>
      <c r="BI13">
        <f t="shared" si="3"/>
        <v>2</v>
      </c>
      <c r="BJ13">
        <f t="shared" si="4"/>
        <v>0</v>
      </c>
      <c r="BK13">
        <f t="shared" si="5"/>
        <v>0</v>
      </c>
      <c r="BL13">
        <f t="shared" si="6"/>
        <v>0</v>
      </c>
      <c r="BM13">
        <f t="shared" si="7"/>
        <v>0</v>
      </c>
    </row>
    <row r="14" spans="1:66">
      <c r="A14" t="s">
        <v>14</v>
      </c>
      <c r="C14" s="12"/>
      <c r="D14" s="10"/>
      <c r="E14" s="10"/>
      <c r="F14" s="11"/>
      <c r="G14" s="11"/>
      <c r="H14" t="s">
        <v>4</v>
      </c>
      <c r="I14" s="10" t="s">
        <v>178</v>
      </c>
      <c r="J14" s="10" t="s">
        <v>178</v>
      </c>
      <c r="K14" s="10" t="s">
        <v>178</v>
      </c>
      <c r="L14" s="11" t="s">
        <v>214</v>
      </c>
      <c r="M14" s="11"/>
      <c r="N14" t="s">
        <v>4</v>
      </c>
      <c r="O14" s="10" t="s">
        <v>173</v>
      </c>
      <c r="P14" s="10" t="s">
        <v>173</v>
      </c>
      <c r="Q14" s="11"/>
      <c r="R14" s="10" t="s">
        <v>172</v>
      </c>
      <c r="S14" s="11"/>
      <c r="T14" t="s">
        <v>4</v>
      </c>
      <c r="U14" s="10"/>
      <c r="V14" s="10"/>
      <c r="W14" s="10"/>
      <c r="X14" s="12"/>
      <c r="Y14" s="11"/>
      <c r="Z14" s="11"/>
      <c r="AA14" t="s">
        <v>4</v>
      </c>
      <c r="AB14" s="12"/>
      <c r="AC14" s="12"/>
      <c r="AD14" s="10"/>
      <c r="AE14" s="10"/>
      <c r="AF14" s="10"/>
      <c r="AG14" s="11"/>
      <c r="AH14" s="11"/>
      <c r="AI14" t="s">
        <v>4</v>
      </c>
      <c r="AJ14" s="10"/>
      <c r="AK14" s="10"/>
      <c r="AL14" s="10"/>
      <c r="AM14" s="11"/>
      <c r="AN14" s="11"/>
      <c r="AO14" t="s">
        <v>4</v>
      </c>
      <c r="AP14" s="10"/>
      <c r="AQ14" s="10"/>
      <c r="AR14" s="10"/>
      <c r="AS14" s="11"/>
      <c r="AT14" s="11"/>
      <c r="AU14" t="s">
        <v>4</v>
      </c>
      <c r="AV14" s="10"/>
      <c r="AW14" s="10"/>
      <c r="AX14" s="10"/>
      <c r="AY14" s="11"/>
      <c r="AZ14" s="11"/>
      <c r="BA14" t="s">
        <v>4</v>
      </c>
      <c r="BB14" s="10"/>
      <c r="BC14" s="12"/>
      <c r="BF14">
        <f t="shared" si="0"/>
        <v>0</v>
      </c>
      <c r="BG14">
        <f t="shared" si="1"/>
        <v>0</v>
      </c>
      <c r="BH14">
        <f t="shared" si="2"/>
        <v>0</v>
      </c>
      <c r="BI14">
        <f t="shared" si="3"/>
        <v>2</v>
      </c>
      <c r="BJ14">
        <f t="shared" si="4"/>
        <v>0</v>
      </c>
      <c r="BK14">
        <f t="shared" si="5"/>
        <v>0</v>
      </c>
      <c r="BL14">
        <f t="shared" si="6"/>
        <v>3</v>
      </c>
      <c r="BM14">
        <f t="shared" si="7"/>
        <v>0</v>
      </c>
    </row>
    <row r="15" spans="1:66">
      <c r="A15" t="s">
        <v>15</v>
      </c>
      <c r="C15" s="12"/>
      <c r="D15" s="10" t="s">
        <v>152</v>
      </c>
      <c r="E15" s="10" t="s">
        <v>152</v>
      </c>
      <c r="F15" s="10" t="s">
        <v>152</v>
      </c>
      <c r="G15" s="11"/>
      <c r="H15" s="11"/>
      <c r="I15" t="s">
        <v>4</v>
      </c>
      <c r="J15" s="10" t="s">
        <v>174</v>
      </c>
      <c r="K15" s="10" t="s">
        <v>174</v>
      </c>
      <c r="L15" s="11" t="s">
        <v>214</v>
      </c>
      <c r="M15" s="10" t="s">
        <v>172</v>
      </c>
      <c r="N15" s="11"/>
      <c r="O15" t="s">
        <v>4</v>
      </c>
      <c r="P15" s="10" t="s">
        <v>168</v>
      </c>
      <c r="Q15" s="11"/>
      <c r="R15" s="10" t="s">
        <v>168</v>
      </c>
      <c r="S15" s="11"/>
      <c r="T15" s="10" t="s">
        <v>168</v>
      </c>
      <c r="U15" t="s">
        <v>4</v>
      </c>
      <c r="V15" s="10"/>
      <c r="W15" s="10"/>
      <c r="X15" s="12"/>
      <c r="Y15" s="10"/>
      <c r="Z15" s="11"/>
      <c r="AA15" s="11"/>
      <c r="AB15" s="12"/>
      <c r="AC15" s="12"/>
      <c r="AD15" t="s">
        <v>4</v>
      </c>
      <c r="AE15" s="10"/>
      <c r="AF15" s="10"/>
      <c r="AG15" s="10"/>
      <c r="AH15" s="11"/>
      <c r="AI15" s="11"/>
      <c r="AJ15" t="s">
        <v>4</v>
      </c>
      <c r="AK15" s="10"/>
      <c r="AL15" s="10"/>
      <c r="AM15" s="10"/>
      <c r="AN15" s="11"/>
      <c r="AO15" s="11"/>
      <c r="AP15" t="s">
        <v>4</v>
      </c>
      <c r="AQ15" s="10"/>
      <c r="AR15" s="10"/>
      <c r="AS15" s="10"/>
      <c r="AT15" s="11"/>
      <c r="AU15" s="11"/>
      <c r="AV15" t="s">
        <v>4</v>
      </c>
      <c r="AW15" s="10"/>
      <c r="AX15" s="10"/>
      <c r="AY15" s="10"/>
      <c r="AZ15" s="11"/>
      <c r="BA15" s="11"/>
      <c r="BB15" t="s">
        <v>4</v>
      </c>
      <c r="BC15" s="12"/>
      <c r="BF15">
        <f t="shared" si="0"/>
        <v>3</v>
      </c>
      <c r="BG15">
        <f t="shared" si="1"/>
        <v>0</v>
      </c>
      <c r="BH15">
        <f t="shared" si="2"/>
        <v>0</v>
      </c>
      <c r="BI15">
        <f t="shared" si="3"/>
        <v>2</v>
      </c>
      <c r="BJ15">
        <f t="shared" si="4"/>
        <v>0</v>
      </c>
      <c r="BK15">
        <f t="shared" si="5"/>
        <v>3</v>
      </c>
      <c r="BL15">
        <f t="shared" si="6"/>
        <v>0</v>
      </c>
      <c r="BM15">
        <f t="shared" si="7"/>
        <v>0</v>
      </c>
    </row>
    <row r="16" spans="1:66">
      <c r="A16" t="s">
        <v>16</v>
      </c>
      <c r="C16" s="12"/>
      <c r="D16" t="s">
        <v>4</v>
      </c>
      <c r="E16" s="10" t="s">
        <v>153</v>
      </c>
      <c r="F16" s="10" t="s">
        <v>153</v>
      </c>
      <c r="G16" s="10" t="s">
        <v>153</v>
      </c>
      <c r="H16" s="11"/>
      <c r="I16" s="11"/>
      <c r="J16" t="s">
        <v>4</v>
      </c>
      <c r="K16" s="10" t="s">
        <v>161</v>
      </c>
      <c r="L16" s="10" t="s">
        <v>161</v>
      </c>
      <c r="M16" s="10" t="s">
        <v>161</v>
      </c>
      <c r="N16" s="11"/>
      <c r="O16" s="11"/>
      <c r="P16" t="s">
        <v>4</v>
      </c>
      <c r="Q16" s="10" t="s">
        <v>173</v>
      </c>
      <c r="R16" s="10" t="s">
        <v>173</v>
      </c>
      <c r="S16" s="11"/>
      <c r="T16" s="10" t="s">
        <v>172</v>
      </c>
      <c r="U16" s="11"/>
      <c r="V16" t="s">
        <v>4</v>
      </c>
      <c r="W16" s="10"/>
      <c r="X16" s="12"/>
      <c r="Y16" s="10"/>
      <c r="Z16" s="10"/>
      <c r="AA16" s="11"/>
      <c r="AB16" s="12"/>
      <c r="AC16" s="12"/>
      <c r="AD16" s="11"/>
      <c r="AE16" t="s">
        <v>4</v>
      </c>
      <c r="AF16" s="10"/>
      <c r="AG16" s="10"/>
      <c r="AH16" s="10"/>
      <c r="AI16" s="11"/>
      <c r="AJ16" s="11"/>
      <c r="AK16" t="s">
        <v>4</v>
      </c>
      <c r="AL16" s="10"/>
      <c r="AM16" s="10"/>
      <c r="AN16" s="10"/>
      <c r="AO16" s="11"/>
      <c r="AP16" s="11"/>
      <c r="AQ16" t="s">
        <v>4</v>
      </c>
      <c r="AR16" s="10"/>
      <c r="AS16" s="10"/>
      <c r="AT16" s="10"/>
      <c r="AU16" s="11"/>
      <c r="AV16" s="11"/>
      <c r="AW16" t="s">
        <v>4</v>
      </c>
      <c r="AX16" s="10"/>
      <c r="AY16" s="10"/>
      <c r="AZ16" s="10"/>
      <c r="BA16" s="11"/>
      <c r="BB16" s="11"/>
      <c r="BC16" s="12"/>
      <c r="BF16">
        <f t="shared" si="0"/>
        <v>3</v>
      </c>
      <c r="BG16">
        <f t="shared" si="1"/>
        <v>3</v>
      </c>
      <c r="BH16">
        <f t="shared" si="2"/>
        <v>0</v>
      </c>
      <c r="BI16">
        <f t="shared" si="3"/>
        <v>2</v>
      </c>
      <c r="BJ16">
        <f t="shared" si="4"/>
        <v>0</v>
      </c>
      <c r="BK16">
        <f t="shared" si="5"/>
        <v>0</v>
      </c>
      <c r="BL16">
        <f t="shared" si="6"/>
        <v>0</v>
      </c>
      <c r="BM16">
        <f t="shared" si="7"/>
        <v>0</v>
      </c>
    </row>
    <row r="17" spans="1:65">
      <c r="A17" t="s">
        <v>17</v>
      </c>
      <c r="C17" s="12"/>
      <c r="D17" s="11"/>
      <c r="E17" t="s">
        <v>4</v>
      </c>
      <c r="F17" s="10" t="s">
        <v>154</v>
      </c>
      <c r="G17" s="10" t="s">
        <v>154</v>
      </c>
      <c r="H17" s="10" t="s">
        <v>154</v>
      </c>
      <c r="I17" s="11"/>
      <c r="J17" s="11"/>
      <c r="K17" t="s">
        <v>4</v>
      </c>
      <c r="L17" s="10" t="s">
        <v>174</v>
      </c>
      <c r="M17" s="10" t="s">
        <v>174</v>
      </c>
      <c r="N17" s="11"/>
      <c r="O17" s="10" t="s">
        <v>172</v>
      </c>
      <c r="P17" s="11"/>
      <c r="Q17" t="s">
        <v>4</v>
      </c>
      <c r="R17" s="10" t="s">
        <v>164</v>
      </c>
      <c r="S17" s="11"/>
      <c r="T17" s="10" t="s">
        <v>164</v>
      </c>
      <c r="U17" s="11"/>
      <c r="V17" s="10" t="s">
        <v>164</v>
      </c>
      <c r="W17" t="s">
        <v>4</v>
      </c>
      <c r="X17" s="12"/>
      <c r="Y17" s="10"/>
      <c r="Z17" s="10"/>
      <c r="AA17" s="10"/>
      <c r="AB17" s="12"/>
      <c r="AC17" s="12"/>
      <c r="AD17" s="11"/>
      <c r="AE17" s="11"/>
      <c r="AF17" t="s">
        <v>4</v>
      </c>
      <c r="AG17" s="10"/>
      <c r="AH17" s="10"/>
      <c r="AI17" s="10"/>
      <c r="AJ17" s="11"/>
      <c r="AK17" s="11"/>
      <c r="AL17" t="s">
        <v>4</v>
      </c>
      <c r="AM17" s="10"/>
      <c r="AN17" s="10"/>
      <c r="AO17" s="10"/>
      <c r="AP17" s="11"/>
      <c r="AQ17" s="11"/>
      <c r="AR17" t="s">
        <v>4</v>
      </c>
      <c r="AS17" s="10"/>
      <c r="AT17" s="10"/>
      <c r="AU17" s="10"/>
      <c r="AV17" s="11"/>
      <c r="AW17" s="11"/>
      <c r="AX17" t="s">
        <v>4</v>
      </c>
      <c r="AY17" s="10"/>
      <c r="AZ17" s="10"/>
      <c r="BA17" s="10"/>
      <c r="BB17" s="11"/>
      <c r="BC17" s="12"/>
      <c r="BF17">
        <f t="shared" si="0"/>
        <v>3</v>
      </c>
      <c r="BG17">
        <f t="shared" si="1"/>
        <v>0</v>
      </c>
      <c r="BH17">
        <f t="shared" si="2"/>
        <v>3</v>
      </c>
      <c r="BI17">
        <f t="shared" si="3"/>
        <v>2</v>
      </c>
      <c r="BJ17">
        <f t="shared" si="4"/>
        <v>0</v>
      </c>
      <c r="BK17">
        <f t="shared" si="5"/>
        <v>0</v>
      </c>
      <c r="BL17">
        <f t="shared" si="6"/>
        <v>0</v>
      </c>
      <c r="BM17">
        <f t="shared" si="7"/>
        <v>0</v>
      </c>
    </row>
    <row r="18" spans="1:65">
      <c r="A18" t="s">
        <v>18</v>
      </c>
      <c r="C18" s="12"/>
      <c r="D18" s="11"/>
      <c r="E18" s="11"/>
      <c r="F18" t="s">
        <v>4</v>
      </c>
      <c r="G18" s="10" t="s">
        <v>152</v>
      </c>
      <c r="H18" s="10" t="s">
        <v>152</v>
      </c>
      <c r="I18" s="10" t="s">
        <v>152</v>
      </c>
      <c r="J18" s="11"/>
      <c r="K18" s="11"/>
      <c r="L18" t="s">
        <v>4</v>
      </c>
      <c r="M18" s="10" t="s">
        <v>166</v>
      </c>
      <c r="N18" s="11"/>
      <c r="O18" s="10" t="s">
        <v>166</v>
      </c>
      <c r="P18" s="11"/>
      <c r="Q18" s="10" t="s">
        <v>166</v>
      </c>
      <c r="R18" t="s">
        <v>4</v>
      </c>
      <c r="S18" s="10" t="s">
        <v>173</v>
      </c>
      <c r="T18" s="10" t="s">
        <v>173</v>
      </c>
      <c r="U18" s="11"/>
      <c r="V18" s="10" t="s">
        <v>172</v>
      </c>
      <c r="W18" s="11"/>
      <c r="X18" s="12"/>
      <c r="Y18" t="s">
        <v>4</v>
      </c>
      <c r="Z18" s="10"/>
      <c r="AA18" s="10"/>
      <c r="AB18" s="12"/>
      <c r="AC18" s="12"/>
      <c r="AD18" s="10"/>
      <c r="AE18" s="11"/>
      <c r="AF18" s="11"/>
      <c r="AG18" t="s">
        <v>4</v>
      </c>
      <c r="AH18" s="10"/>
      <c r="AI18" s="10"/>
      <c r="AJ18" s="10"/>
      <c r="AK18" s="11"/>
      <c r="AL18" s="11"/>
      <c r="AM18" t="s">
        <v>4</v>
      </c>
      <c r="AN18" s="10"/>
      <c r="AO18" s="10"/>
      <c r="AP18" s="10"/>
      <c r="AQ18" s="11"/>
      <c r="AR18" s="11"/>
      <c r="AS18" t="s">
        <v>4</v>
      </c>
      <c r="AT18" s="10"/>
      <c r="AU18" s="10"/>
      <c r="AV18" s="10"/>
      <c r="AW18" s="11"/>
      <c r="AX18" s="11"/>
      <c r="AY18" t="s">
        <v>4</v>
      </c>
      <c r="AZ18" s="10"/>
      <c r="BA18" s="10"/>
      <c r="BB18" s="10"/>
      <c r="BC18" s="12"/>
      <c r="BF18">
        <f t="shared" si="0"/>
        <v>3</v>
      </c>
      <c r="BG18">
        <f t="shared" si="1"/>
        <v>0</v>
      </c>
      <c r="BH18">
        <f t="shared" si="2"/>
        <v>3</v>
      </c>
      <c r="BI18">
        <f t="shared" si="3"/>
        <v>2</v>
      </c>
      <c r="BJ18">
        <f t="shared" si="4"/>
        <v>0</v>
      </c>
      <c r="BK18">
        <f t="shared" si="5"/>
        <v>0</v>
      </c>
      <c r="BL18">
        <f t="shared" si="6"/>
        <v>0</v>
      </c>
      <c r="BM18">
        <f t="shared" si="7"/>
        <v>0</v>
      </c>
    </row>
    <row r="19" spans="1:65">
      <c r="A19" t="s">
        <v>19</v>
      </c>
      <c r="C19" s="12"/>
      <c r="D19" s="10"/>
      <c r="E19" s="11"/>
      <c r="F19" s="11"/>
      <c r="G19" t="s">
        <v>4</v>
      </c>
      <c r="H19" s="10" t="s">
        <v>153</v>
      </c>
      <c r="I19" s="10" t="s">
        <v>153</v>
      </c>
      <c r="J19" s="10" t="s">
        <v>153</v>
      </c>
      <c r="K19" s="11"/>
      <c r="L19" s="11" t="s">
        <v>214</v>
      </c>
      <c r="M19" t="s">
        <v>4</v>
      </c>
      <c r="N19" s="10" t="s">
        <v>174</v>
      </c>
      <c r="O19" s="10" t="s">
        <v>174</v>
      </c>
      <c r="P19" s="11"/>
      <c r="Q19" s="10" t="s">
        <v>172</v>
      </c>
      <c r="R19" s="11"/>
      <c r="S19" t="s">
        <v>4</v>
      </c>
      <c r="T19" s="10"/>
      <c r="U19" s="10"/>
      <c r="V19" s="10"/>
      <c r="W19" s="11"/>
      <c r="X19" s="12"/>
      <c r="Y19" s="11"/>
      <c r="Z19" t="s">
        <v>4</v>
      </c>
      <c r="AA19" s="10"/>
      <c r="AB19" s="12"/>
      <c r="AC19" s="12"/>
      <c r="AD19" s="10"/>
      <c r="AE19" s="10"/>
      <c r="AF19" s="11"/>
      <c r="AG19" s="11"/>
      <c r="AH19" t="s">
        <v>4</v>
      </c>
      <c r="AI19" s="10"/>
      <c r="AJ19" s="10"/>
      <c r="AK19" s="10"/>
      <c r="AL19" s="11"/>
      <c r="AM19" s="11"/>
      <c r="AN19" t="s">
        <v>4</v>
      </c>
      <c r="AO19" s="10"/>
      <c r="AP19" s="10"/>
      <c r="AQ19" s="10"/>
      <c r="AR19" s="11"/>
      <c r="AS19" s="11"/>
      <c r="AT19" t="s">
        <v>4</v>
      </c>
      <c r="AU19" s="10"/>
      <c r="AV19" s="10"/>
      <c r="AW19" s="10"/>
      <c r="AX19" s="11"/>
      <c r="AY19" s="11"/>
      <c r="AZ19" t="s">
        <v>4</v>
      </c>
      <c r="BA19" s="10"/>
      <c r="BB19" s="10"/>
      <c r="BC19" s="12"/>
      <c r="BF19">
        <f t="shared" si="0"/>
        <v>3</v>
      </c>
      <c r="BG19">
        <f t="shared" si="1"/>
        <v>0</v>
      </c>
      <c r="BH19">
        <f t="shared" si="2"/>
        <v>0</v>
      </c>
      <c r="BI19">
        <f t="shared" si="3"/>
        <v>2</v>
      </c>
      <c r="BJ19">
        <f t="shared" si="4"/>
        <v>0</v>
      </c>
      <c r="BK19">
        <f t="shared" si="5"/>
        <v>0</v>
      </c>
      <c r="BL19">
        <f t="shared" si="6"/>
        <v>0</v>
      </c>
      <c r="BM19">
        <f t="shared" si="7"/>
        <v>0</v>
      </c>
    </row>
    <row r="20" spans="1:65">
      <c r="A20" t="s">
        <v>20</v>
      </c>
      <c r="C20" s="12"/>
      <c r="D20" s="10"/>
      <c r="E20" s="10"/>
      <c r="F20" s="11"/>
      <c r="G20" s="11"/>
      <c r="H20" t="s">
        <v>4</v>
      </c>
      <c r="I20" s="10" t="s">
        <v>154</v>
      </c>
      <c r="J20" s="10" t="s">
        <v>154</v>
      </c>
      <c r="K20" s="10" t="s">
        <v>154</v>
      </c>
      <c r="L20" s="11" t="s">
        <v>214</v>
      </c>
      <c r="M20" s="11"/>
      <c r="N20" t="s">
        <v>4</v>
      </c>
      <c r="O20" s="10"/>
      <c r="P20" s="10"/>
      <c r="Q20" s="10"/>
      <c r="R20" s="11"/>
      <c r="S20" s="11"/>
      <c r="T20" t="s">
        <v>4</v>
      </c>
      <c r="U20" s="10" t="s">
        <v>173</v>
      </c>
      <c r="V20" s="10" t="s">
        <v>173</v>
      </c>
      <c r="W20" s="11"/>
      <c r="X20" s="12"/>
      <c r="Y20" s="10" t="s">
        <v>172</v>
      </c>
      <c r="Z20" s="11"/>
      <c r="AA20" t="s">
        <v>4</v>
      </c>
      <c r="AB20" s="12"/>
      <c r="AC20" s="12"/>
      <c r="AD20" s="10"/>
      <c r="AE20" s="10"/>
      <c r="AF20" s="10"/>
      <c r="AG20" s="11"/>
      <c r="AH20" s="11"/>
      <c r="AI20" t="s">
        <v>4</v>
      </c>
      <c r="AJ20" s="10"/>
      <c r="AK20" s="10"/>
      <c r="AL20" s="10"/>
      <c r="AM20" s="11"/>
      <c r="AN20" s="11"/>
      <c r="AO20" t="s">
        <v>4</v>
      </c>
      <c r="AP20" s="10"/>
      <c r="AQ20" s="10"/>
      <c r="AR20" s="10"/>
      <c r="AS20" s="11"/>
      <c r="AT20" s="11"/>
      <c r="AU20" t="s">
        <v>4</v>
      </c>
      <c r="AV20" s="10"/>
      <c r="AW20" s="10"/>
      <c r="AX20" s="10"/>
      <c r="AY20" s="11"/>
      <c r="AZ20" s="11"/>
      <c r="BA20" t="s">
        <v>4</v>
      </c>
      <c r="BB20" s="10"/>
      <c r="BC20" s="12"/>
      <c r="BF20">
        <f t="shared" si="0"/>
        <v>3</v>
      </c>
      <c r="BG20">
        <f t="shared" si="1"/>
        <v>0</v>
      </c>
      <c r="BH20">
        <f t="shared" si="2"/>
        <v>0</v>
      </c>
      <c r="BI20">
        <f t="shared" si="3"/>
        <v>2</v>
      </c>
      <c r="BJ20">
        <f t="shared" si="4"/>
        <v>0</v>
      </c>
      <c r="BK20">
        <f t="shared" si="5"/>
        <v>0</v>
      </c>
      <c r="BL20">
        <f t="shared" si="6"/>
        <v>0</v>
      </c>
      <c r="BM20">
        <f t="shared" si="7"/>
        <v>0</v>
      </c>
    </row>
    <row r="21" spans="1:65">
      <c r="A21" t="s">
        <v>21</v>
      </c>
      <c r="C21" s="12"/>
      <c r="D21" s="10" t="s">
        <v>159</v>
      </c>
      <c r="E21" s="10" t="s">
        <v>159</v>
      </c>
      <c r="F21" s="10" t="s">
        <v>159</v>
      </c>
      <c r="G21" s="11"/>
      <c r="H21" s="11"/>
      <c r="I21" t="s">
        <v>4</v>
      </c>
      <c r="J21" s="10" t="s">
        <v>152</v>
      </c>
      <c r="K21" s="10" t="s">
        <v>152</v>
      </c>
      <c r="L21" s="10" t="s">
        <v>152</v>
      </c>
      <c r="M21" s="11"/>
      <c r="N21" s="11"/>
      <c r="O21" t="s">
        <v>4</v>
      </c>
      <c r="P21" s="10" t="s">
        <v>174</v>
      </c>
      <c r="Q21" s="10" t="s">
        <v>174</v>
      </c>
      <c r="R21" s="11"/>
      <c r="S21" s="10" t="s">
        <v>172</v>
      </c>
      <c r="T21" s="11"/>
      <c r="U21" t="s">
        <v>4</v>
      </c>
      <c r="V21" s="10"/>
      <c r="W21" s="10"/>
      <c r="X21" s="12"/>
      <c r="Y21" s="10"/>
      <c r="Z21" s="11"/>
      <c r="AA21" s="11"/>
      <c r="AB21" s="12"/>
      <c r="AC21" s="12"/>
      <c r="AD21" t="s">
        <v>4</v>
      </c>
      <c r="AE21" s="10"/>
      <c r="AF21" s="10"/>
      <c r="AG21" s="10"/>
      <c r="AH21" s="11"/>
      <c r="AI21" s="11"/>
      <c r="AJ21" t="s">
        <v>4</v>
      </c>
      <c r="AK21" s="10"/>
      <c r="AL21" s="10"/>
      <c r="AM21" s="10"/>
      <c r="AN21" s="11"/>
      <c r="AO21" s="11"/>
      <c r="AP21" t="s">
        <v>4</v>
      </c>
      <c r="AQ21" s="10"/>
      <c r="AR21" s="10"/>
      <c r="AS21" s="10"/>
      <c r="AT21" s="11"/>
      <c r="AU21" s="11"/>
      <c r="AV21" t="s">
        <v>4</v>
      </c>
      <c r="AW21" s="10"/>
      <c r="AX21" s="10"/>
      <c r="AY21" s="10"/>
      <c r="AZ21" s="11"/>
      <c r="BA21" s="11"/>
      <c r="BB21" t="s">
        <v>4</v>
      </c>
      <c r="BC21" s="12"/>
      <c r="BF21">
        <f t="shared" si="0"/>
        <v>3</v>
      </c>
      <c r="BG21">
        <f t="shared" si="1"/>
        <v>3</v>
      </c>
      <c r="BH21">
        <f t="shared" si="2"/>
        <v>0</v>
      </c>
      <c r="BI21">
        <f t="shared" si="3"/>
        <v>2</v>
      </c>
      <c r="BJ21">
        <f t="shared" si="4"/>
        <v>0</v>
      </c>
      <c r="BK21">
        <f t="shared" si="5"/>
        <v>0</v>
      </c>
      <c r="BL21">
        <f t="shared" si="6"/>
        <v>0</v>
      </c>
      <c r="BM21">
        <f t="shared" si="7"/>
        <v>0</v>
      </c>
    </row>
    <row r="22" spans="1:65">
      <c r="A22" t="s">
        <v>22</v>
      </c>
      <c r="C22" s="12"/>
      <c r="D22" t="s">
        <v>4</v>
      </c>
      <c r="E22" s="10" t="s">
        <v>164</v>
      </c>
      <c r="F22" s="11"/>
      <c r="G22" s="10" t="s">
        <v>164</v>
      </c>
      <c r="H22" s="11"/>
      <c r="I22" s="10" t="s">
        <v>164</v>
      </c>
      <c r="J22" t="s">
        <v>4</v>
      </c>
      <c r="K22" s="10" t="s">
        <v>153</v>
      </c>
      <c r="L22" s="10" t="s">
        <v>153</v>
      </c>
      <c r="M22" s="10" t="s">
        <v>153</v>
      </c>
      <c r="N22" s="11"/>
      <c r="O22" s="11"/>
      <c r="P22" t="s">
        <v>4</v>
      </c>
      <c r="Q22" s="10" t="s">
        <v>164</v>
      </c>
      <c r="R22" s="11"/>
      <c r="S22" s="10" t="s">
        <v>164</v>
      </c>
      <c r="T22" s="11"/>
      <c r="U22" s="10" t="s">
        <v>164</v>
      </c>
      <c r="V22" t="s">
        <v>4</v>
      </c>
      <c r="W22" s="10" t="s">
        <v>173</v>
      </c>
      <c r="X22" s="12"/>
      <c r="Y22" s="10" t="s">
        <v>173</v>
      </c>
      <c r="Z22" s="11"/>
      <c r="AA22" s="10" t="s">
        <v>172</v>
      </c>
      <c r="AB22" s="12"/>
      <c r="AC22" s="12"/>
      <c r="AD22" s="11"/>
      <c r="AE22" t="s">
        <v>4</v>
      </c>
      <c r="AF22" s="10"/>
      <c r="AG22" s="10"/>
      <c r="AH22" s="10"/>
      <c r="AI22" s="11"/>
      <c r="AJ22" s="11"/>
      <c r="AK22" t="s">
        <v>4</v>
      </c>
      <c r="AL22" s="10"/>
      <c r="AM22" s="10"/>
      <c r="AN22" s="10"/>
      <c r="AO22" s="11"/>
      <c r="AP22" s="11"/>
      <c r="AQ22" t="s">
        <v>4</v>
      </c>
      <c r="AR22" s="10"/>
      <c r="AS22" s="10"/>
      <c r="AT22" s="10"/>
      <c r="AU22" s="11"/>
      <c r="AV22" s="11"/>
      <c r="AW22" t="s">
        <v>4</v>
      </c>
      <c r="AX22" s="10"/>
      <c r="AY22" s="10"/>
      <c r="AZ22" s="10"/>
      <c r="BA22" s="11"/>
      <c r="BB22" s="11"/>
      <c r="BC22" s="12"/>
      <c r="BF22">
        <f t="shared" si="0"/>
        <v>3</v>
      </c>
      <c r="BG22">
        <f t="shared" si="1"/>
        <v>0</v>
      </c>
      <c r="BH22">
        <f t="shared" si="2"/>
        <v>6</v>
      </c>
      <c r="BI22">
        <f t="shared" si="3"/>
        <v>2</v>
      </c>
      <c r="BJ22">
        <f t="shared" si="4"/>
        <v>0</v>
      </c>
      <c r="BK22">
        <f t="shared" si="5"/>
        <v>0</v>
      </c>
      <c r="BL22">
        <f t="shared" si="6"/>
        <v>0</v>
      </c>
      <c r="BM22">
        <f t="shared" si="7"/>
        <v>0</v>
      </c>
    </row>
    <row r="23" spans="1:65">
      <c r="A23" t="s">
        <v>23</v>
      </c>
      <c r="C23" s="12"/>
      <c r="D23" s="11"/>
      <c r="E23" t="s">
        <v>4</v>
      </c>
      <c r="F23" s="10" t="s">
        <v>167</v>
      </c>
      <c r="G23" s="11"/>
      <c r="H23" s="10" t="s">
        <v>167</v>
      </c>
      <c r="I23" s="11"/>
      <c r="J23" s="10" t="s">
        <v>167</v>
      </c>
      <c r="K23" t="s">
        <v>4</v>
      </c>
      <c r="L23" s="10" t="s">
        <v>154</v>
      </c>
      <c r="M23" s="10" t="s">
        <v>154</v>
      </c>
      <c r="N23" s="10" t="s">
        <v>154</v>
      </c>
      <c r="O23" s="11"/>
      <c r="P23" s="11"/>
      <c r="Q23" t="s">
        <v>4</v>
      </c>
      <c r="R23" s="10" t="s">
        <v>174</v>
      </c>
      <c r="S23" s="10" t="s">
        <v>174</v>
      </c>
      <c r="T23" s="11"/>
      <c r="U23" s="10" t="s">
        <v>172</v>
      </c>
      <c r="V23" s="11"/>
      <c r="W23" t="s">
        <v>4</v>
      </c>
      <c r="X23" s="12"/>
      <c r="Y23" s="10"/>
      <c r="Z23" s="10"/>
      <c r="AA23" s="10"/>
      <c r="AB23" s="12"/>
      <c r="AC23" s="12"/>
      <c r="AD23" s="11"/>
      <c r="AE23" s="11"/>
      <c r="AF23" t="s">
        <v>4</v>
      </c>
      <c r="AG23" s="10"/>
      <c r="AH23" s="10"/>
      <c r="AI23" s="10"/>
      <c r="AJ23" s="11"/>
      <c r="AK23" s="11"/>
      <c r="AL23" t="s">
        <v>4</v>
      </c>
      <c r="AM23" s="10"/>
      <c r="AN23" s="10"/>
      <c r="AO23" s="10"/>
      <c r="AP23" s="11"/>
      <c r="AQ23" s="11"/>
      <c r="AR23" t="s">
        <v>4</v>
      </c>
      <c r="AS23" s="10"/>
      <c r="AT23" s="10"/>
      <c r="AU23" s="10"/>
      <c r="AV23" s="11"/>
      <c r="AW23" s="11"/>
      <c r="AX23" t="s">
        <v>4</v>
      </c>
      <c r="AY23" s="10"/>
      <c r="AZ23" s="10"/>
      <c r="BA23" s="10"/>
      <c r="BB23" s="11"/>
      <c r="BC23" s="12"/>
      <c r="BF23">
        <f t="shared" si="0"/>
        <v>3</v>
      </c>
      <c r="BG23">
        <f t="shared" si="1"/>
        <v>0</v>
      </c>
      <c r="BH23">
        <f t="shared" si="2"/>
        <v>0</v>
      </c>
      <c r="BI23">
        <f t="shared" si="3"/>
        <v>2</v>
      </c>
      <c r="BJ23">
        <f t="shared" si="4"/>
        <v>0</v>
      </c>
      <c r="BK23">
        <f t="shared" si="5"/>
        <v>3</v>
      </c>
      <c r="BL23">
        <f t="shared" si="6"/>
        <v>0</v>
      </c>
      <c r="BM23">
        <f t="shared" si="7"/>
        <v>0</v>
      </c>
    </row>
    <row r="24" spans="1:65">
      <c r="A24" t="s">
        <v>24</v>
      </c>
      <c r="C24" s="12"/>
      <c r="D24" s="11"/>
      <c r="E24" s="11"/>
      <c r="F24" t="s">
        <v>4</v>
      </c>
      <c r="G24" s="10"/>
      <c r="H24" s="10" t="s">
        <v>177</v>
      </c>
      <c r="I24" s="10" t="s">
        <v>177</v>
      </c>
      <c r="J24" s="11"/>
      <c r="K24" s="11"/>
      <c r="L24" t="s">
        <v>4</v>
      </c>
      <c r="M24" s="10" t="s">
        <v>152</v>
      </c>
      <c r="N24" s="10" t="s">
        <v>152</v>
      </c>
      <c r="O24" s="10" t="s">
        <v>152</v>
      </c>
      <c r="P24" s="11"/>
      <c r="Q24" s="11"/>
      <c r="R24" t="s">
        <v>4</v>
      </c>
      <c r="S24" s="10" t="s">
        <v>163</v>
      </c>
      <c r="T24" s="10" t="s">
        <v>163</v>
      </c>
      <c r="U24" s="10" t="s">
        <v>163</v>
      </c>
      <c r="V24" s="11"/>
      <c r="W24" s="11"/>
      <c r="X24" s="12"/>
      <c r="Y24" t="s">
        <v>4</v>
      </c>
      <c r="Z24" s="10"/>
      <c r="AA24" s="10"/>
      <c r="AB24" s="12"/>
      <c r="AC24" s="12"/>
      <c r="AD24" s="10"/>
      <c r="AE24" s="11"/>
      <c r="AF24" s="11"/>
      <c r="AG24" t="s">
        <v>4</v>
      </c>
      <c r="AH24" s="10"/>
      <c r="AI24" s="10"/>
      <c r="AJ24" s="10"/>
      <c r="AK24" s="11"/>
      <c r="AL24" s="11"/>
      <c r="AM24" t="s">
        <v>4</v>
      </c>
      <c r="AN24" s="10"/>
      <c r="AO24" s="10"/>
      <c r="AP24" s="10"/>
      <c r="AQ24" s="11"/>
      <c r="AR24" s="11"/>
      <c r="AS24" t="s">
        <v>4</v>
      </c>
      <c r="AT24" s="10"/>
      <c r="AU24" s="10"/>
      <c r="AV24" s="10"/>
      <c r="AW24" s="11"/>
      <c r="AX24" s="11"/>
      <c r="AY24" t="s">
        <v>4</v>
      </c>
      <c r="AZ24" s="10"/>
      <c r="BA24" s="10"/>
      <c r="BB24" s="10"/>
      <c r="BC24" s="12"/>
      <c r="BF24">
        <f t="shared" si="0"/>
        <v>3</v>
      </c>
      <c r="BG24">
        <f t="shared" si="1"/>
        <v>3</v>
      </c>
      <c r="BH24">
        <f t="shared" si="2"/>
        <v>0</v>
      </c>
      <c r="BI24">
        <f t="shared" si="3"/>
        <v>2</v>
      </c>
      <c r="BJ24">
        <f t="shared" si="4"/>
        <v>0</v>
      </c>
      <c r="BK24">
        <f t="shared" si="5"/>
        <v>0</v>
      </c>
      <c r="BL24">
        <f t="shared" si="6"/>
        <v>0</v>
      </c>
      <c r="BM24">
        <f t="shared" si="7"/>
        <v>0</v>
      </c>
    </row>
    <row r="25" spans="1:65">
      <c r="A25" t="s">
        <v>25</v>
      </c>
      <c r="C25" s="12"/>
      <c r="D25" s="10"/>
      <c r="E25" s="11"/>
      <c r="F25" s="11"/>
      <c r="G25" t="s">
        <v>4</v>
      </c>
      <c r="H25" s="10"/>
      <c r="I25" s="10"/>
      <c r="J25" s="10"/>
      <c r="K25" s="11"/>
      <c r="L25" s="11" t="s">
        <v>214</v>
      </c>
      <c r="M25" t="s">
        <v>4</v>
      </c>
      <c r="N25" s="10" t="s">
        <v>153</v>
      </c>
      <c r="O25" s="10" t="s">
        <v>153</v>
      </c>
      <c r="P25" s="10" t="s">
        <v>153</v>
      </c>
      <c r="Q25" s="11"/>
      <c r="R25" s="11"/>
      <c r="S25" t="s">
        <v>4</v>
      </c>
      <c r="T25" s="10" t="s">
        <v>174</v>
      </c>
      <c r="U25" s="10" t="s">
        <v>174</v>
      </c>
      <c r="V25" s="11"/>
      <c r="W25" s="10" t="s">
        <v>172</v>
      </c>
      <c r="X25" s="11"/>
      <c r="Y25" s="11"/>
      <c r="Z25" t="s">
        <v>4</v>
      </c>
      <c r="AA25" s="10"/>
      <c r="AB25" s="12"/>
      <c r="AC25" s="12"/>
      <c r="AD25" s="10"/>
      <c r="AE25" s="10"/>
      <c r="AF25" s="11"/>
      <c r="AG25" s="11"/>
      <c r="AH25" t="s">
        <v>4</v>
      </c>
      <c r="AI25" s="10"/>
      <c r="AJ25" s="10"/>
      <c r="AK25" s="10"/>
      <c r="AL25" s="11"/>
      <c r="AM25" s="11"/>
      <c r="AN25" t="s">
        <v>4</v>
      </c>
      <c r="AO25" s="10"/>
      <c r="AP25" s="10"/>
      <c r="AQ25" s="10"/>
      <c r="AR25" s="11"/>
      <c r="AS25" s="11"/>
      <c r="AT25" t="s">
        <v>4</v>
      </c>
      <c r="AU25" s="10"/>
      <c r="AV25" s="10"/>
      <c r="AW25" s="10"/>
      <c r="AX25" s="11"/>
      <c r="AY25" s="11"/>
      <c r="AZ25" t="s">
        <v>4</v>
      </c>
      <c r="BA25" s="10"/>
      <c r="BB25" s="10"/>
      <c r="BC25" s="12"/>
      <c r="BF25">
        <f t="shared" si="0"/>
        <v>3</v>
      </c>
      <c r="BG25">
        <f t="shared" si="1"/>
        <v>0</v>
      </c>
      <c r="BH25">
        <f t="shared" si="2"/>
        <v>0</v>
      </c>
      <c r="BI25">
        <f t="shared" si="3"/>
        <v>2</v>
      </c>
      <c r="BJ25">
        <f t="shared" si="4"/>
        <v>0</v>
      </c>
      <c r="BK25">
        <f t="shared" si="5"/>
        <v>0</v>
      </c>
      <c r="BL25">
        <f t="shared" si="6"/>
        <v>0</v>
      </c>
      <c r="BM25">
        <f t="shared" si="7"/>
        <v>0</v>
      </c>
    </row>
    <row r="26" spans="1:65">
      <c r="A26" t="s">
        <v>26</v>
      </c>
      <c r="C26" s="12"/>
      <c r="D26" s="10"/>
      <c r="E26" s="10"/>
      <c r="F26" s="11"/>
      <c r="G26" s="11"/>
      <c r="H26" t="s">
        <v>4</v>
      </c>
      <c r="I26" s="10"/>
      <c r="J26" s="10" t="s">
        <v>177</v>
      </c>
      <c r="K26" s="10" t="s">
        <v>177</v>
      </c>
      <c r="L26" s="11" t="s">
        <v>214</v>
      </c>
      <c r="M26" s="11"/>
      <c r="N26" t="s">
        <v>4</v>
      </c>
      <c r="O26" s="10" t="s">
        <v>154</v>
      </c>
      <c r="P26" s="10" t="s">
        <v>154</v>
      </c>
      <c r="Q26" s="10" t="s">
        <v>154</v>
      </c>
      <c r="R26" s="11"/>
      <c r="S26" s="11"/>
      <c r="T26" t="s">
        <v>4</v>
      </c>
      <c r="U26" s="10"/>
      <c r="V26" s="10"/>
      <c r="W26" s="10"/>
      <c r="X26" s="12"/>
      <c r="Y26" s="11"/>
      <c r="Z26" s="11"/>
      <c r="AA26" t="s">
        <v>4</v>
      </c>
      <c r="AB26" s="12"/>
      <c r="AC26" s="12"/>
      <c r="AD26" s="10"/>
      <c r="AE26" s="10"/>
      <c r="AF26" s="10"/>
      <c r="AG26" s="11"/>
      <c r="AH26" s="11"/>
      <c r="AI26" t="s">
        <v>4</v>
      </c>
      <c r="AJ26" s="10"/>
      <c r="AK26" s="10"/>
      <c r="AL26" s="10"/>
      <c r="AM26" s="11"/>
      <c r="AN26" s="11"/>
      <c r="AO26" t="s">
        <v>4</v>
      </c>
      <c r="AP26" s="10"/>
      <c r="AQ26" s="10"/>
      <c r="AR26" s="10"/>
      <c r="AS26" s="11"/>
      <c r="AT26" s="11"/>
      <c r="AU26" t="s">
        <v>4</v>
      </c>
      <c r="AV26" s="10"/>
      <c r="AW26" s="10"/>
      <c r="AX26" s="10"/>
      <c r="AY26" s="11"/>
      <c r="AZ26" s="11"/>
      <c r="BA26" t="s">
        <v>4</v>
      </c>
      <c r="BB26" s="10"/>
      <c r="BC26" s="12"/>
      <c r="BF26">
        <f t="shared" si="0"/>
        <v>3</v>
      </c>
      <c r="BG26">
        <f t="shared" si="1"/>
        <v>0</v>
      </c>
      <c r="BH26">
        <f t="shared" si="2"/>
        <v>0</v>
      </c>
      <c r="BI26">
        <f t="shared" si="3"/>
        <v>2</v>
      </c>
      <c r="BJ26">
        <f t="shared" si="4"/>
        <v>0</v>
      </c>
      <c r="BK26">
        <f t="shared" si="5"/>
        <v>0</v>
      </c>
      <c r="BL26">
        <f t="shared" si="6"/>
        <v>0</v>
      </c>
      <c r="BM26">
        <f t="shared" si="7"/>
        <v>0</v>
      </c>
    </row>
    <row r="27" spans="1:65">
      <c r="A27" t="s">
        <v>27</v>
      </c>
      <c r="C27" s="12"/>
      <c r="D27" s="10" t="s">
        <v>165</v>
      </c>
      <c r="E27" s="11"/>
      <c r="F27" s="10" t="s">
        <v>165</v>
      </c>
      <c r="G27" s="11"/>
      <c r="H27" s="10" t="s">
        <v>165</v>
      </c>
      <c r="I27" t="s">
        <v>4</v>
      </c>
      <c r="J27" s="10" t="s">
        <v>168</v>
      </c>
      <c r="K27" s="11"/>
      <c r="L27" s="10" t="s">
        <v>168</v>
      </c>
      <c r="M27" s="11"/>
      <c r="N27" s="10" t="s">
        <v>168</v>
      </c>
      <c r="O27" t="s">
        <v>4</v>
      </c>
      <c r="P27" s="10" t="s">
        <v>152</v>
      </c>
      <c r="Q27" s="10" t="s">
        <v>152</v>
      </c>
      <c r="R27" s="10" t="s">
        <v>152</v>
      </c>
      <c r="S27" s="11"/>
      <c r="T27" s="11"/>
      <c r="U27" t="s">
        <v>4</v>
      </c>
      <c r="V27" s="10" t="s">
        <v>174</v>
      </c>
      <c r="W27" s="10" t="s">
        <v>174</v>
      </c>
      <c r="X27" s="12"/>
      <c r="Y27" s="11"/>
      <c r="Z27" s="10" t="s">
        <v>172</v>
      </c>
      <c r="AA27" s="11"/>
      <c r="AB27" s="12"/>
      <c r="AC27" s="12"/>
      <c r="AD27" t="s">
        <v>4</v>
      </c>
      <c r="AE27" s="10"/>
      <c r="AF27" s="10"/>
      <c r="AG27" s="10"/>
      <c r="AH27" s="11"/>
      <c r="AI27" s="11"/>
      <c r="AJ27" t="s">
        <v>4</v>
      </c>
      <c r="AK27" s="10"/>
      <c r="AL27" s="10"/>
      <c r="AM27" s="10"/>
      <c r="AN27" s="11"/>
      <c r="AO27" s="11"/>
      <c r="AP27" t="s">
        <v>4</v>
      </c>
      <c r="AQ27" s="10"/>
      <c r="AR27" s="10"/>
      <c r="AS27" s="10"/>
      <c r="AT27" s="11"/>
      <c r="AU27" s="11"/>
      <c r="AV27" t="s">
        <v>4</v>
      </c>
      <c r="AW27" s="10"/>
      <c r="AX27" s="10"/>
      <c r="AY27" s="10"/>
      <c r="AZ27" s="11"/>
      <c r="BA27" s="11"/>
      <c r="BB27" t="s">
        <v>4</v>
      </c>
      <c r="BC27" s="12"/>
      <c r="BF27">
        <f t="shared" si="0"/>
        <v>3</v>
      </c>
      <c r="BG27">
        <f t="shared" si="1"/>
        <v>0</v>
      </c>
      <c r="BH27">
        <f t="shared" si="2"/>
        <v>3</v>
      </c>
      <c r="BI27">
        <f t="shared" si="3"/>
        <v>2</v>
      </c>
      <c r="BJ27">
        <f t="shared" si="4"/>
        <v>0</v>
      </c>
      <c r="BK27">
        <f t="shared" si="5"/>
        <v>3</v>
      </c>
      <c r="BL27">
        <f t="shared" si="6"/>
        <v>0</v>
      </c>
      <c r="BM27">
        <f t="shared" si="7"/>
        <v>0</v>
      </c>
    </row>
    <row r="28" spans="1:65">
      <c r="A28" t="s">
        <v>28</v>
      </c>
      <c r="C28" s="12"/>
      <c r="D28" t="s">
        <v>4</v>
      </c>
      <c r="E28" s="10" t="s">
        <v>165</v>
      </c>
      <c r="F28" s="11"/>
      <c r="G28" s="10" t="s">
        <v>165</v>
      </c>
      <c r="H28" s="11"/>
      <c r="I28" s="10" t="s">
        <v>165</v>
      </c>
      <c r="J28" t="s">
        <v>4</v>
      </c>
      <c r="K28" s="10" t="s">
        <v>168</v>
      </c>
      <c r="L28" s="11" t="s">
        <v>214</v>
      </c>
      <c r="M28" s="10" t="s">
        <v>168</v>
      </c>
      <c r="N28" s="11"/>
      <c r="O28" s="10" t="s">
        <v>168</v>
      </c>
      <c r="P28" t="s">
        <v>4</v>
      </c>
      <c r="Q28" s="10" t="s">
        <v>153</v>
      </c>
      <c r="R28" s="10" t="s">
        <v>153</v>
      </c>
      <c r="S28" s="10" t="s">
        <v>153</v>
      </c>
      <c r="T28" s="11"/>
      <c r="U28" s="11"/>
      <c r="V28" t="s">
        <v>4</v>
      </c>
      <c r="W28" s="10"/>
      <c r="X28" s="12"/>
      <c r="Y28" s="10"/>
      <c r="Z28" s="10"/>
      <c r="AA28" s="11"/>
      <c r="AB28" s="12"/>
      <c r="AC28" s="12"/>
      <c r="AD28" s="11"/>
      <c r="AE28" t="s">
        <v>4</v>
      </c>
      <c r="AF28" s="10"/>
      <c r="AG28" s="10"/>
      <c r="AH28" s="10"/>
      <c r="AI28" s="11"/>
      <c r="AJ28" s="11"/>
      <c r="AK28" t="s">
        <v>4</v>
      </c>
      <c r="AL28" s="10"/>
      <c r="AM28" s="10"/>
      <c r="AN28" s="10"/>
      <c r="AO28" s="11"/>
      <c r="AP28" s="11"/>
      <c r="AQ28" t="s">
        <v>4</v>
      </c>
      <c r="AR28" s="10"/>
      <c r="AS28" s="10"/>
      <c r="AT28" s="10"/>
      <c r="AU28" s="11"/>
      <c r="AV28" s="11"/>
      <c r="AW28" t="s">
        <v>4</v>
      </c>
      <c r="AX28" s="10"/>
      <c r="AY28" s="10"/>
      <c r="AZ28" s="10"/>
      <c r="BA28" s="11"/>
      <c r="BB28" s="11"/>
      <c r="BC28" s="12"/>
      <c r="BF28">
        <f t="shared" si="0"/>
        <v>3</v>
      </c>
      <c r="BG28">
        <f t="shared" si="1"/>
        <v>0</v>
      </c>
      <c r="BH28">
        <f t="shared" si="2"/>
        <v>3</v>
      </c>
      <c r="BI28">
        <f t="shared" si="3"/>
        <v>0</v>
      </c>
      <c r="BJ28">
        <f t="shared" si="4"/>
        <v>0</v>
      </c>
      <c r="BK28">
        <f t="shared" si="5"/>
        <v>3</v>
      </c>
      <c r="BL28">
        <f t="shared" si="6"/>
        <v>0</v>
      </c>
      <c r="BM28">
        <f t="shared" si="7"/>
        <v>0</v>
      </c>
    </row>
    <row r="29" spans="1:65">
      <c r="A29" t="s">
        <v>29</v>
      </c>
      <c r="C29" s="12"/>
      <c r="D29" s="11"/>
      <c r="E29" t="s">
        <v>4</v>
      </c>
      <c r="F29" s="10" t="s">
        <v>178</v>
      </c>
      <c r="G29" s="10" t="s">
        <v>178</v>
      </c>
      <c r="H29" s="10" t="s">
        <v>178</v>
      </c>
      <c r="I29" s="11"/>
      <c r="J29" s="11"/>
      <c r="K29" t="s">
        <v>4</v>
      </c>
      <c r="L29" s="10" t="s">
        <v>177</v>
      </c>
      <c r="M29" s="10" t="s">
        <v>177</v>
      </c>
      <c r="N29" s="10"/>
      <c r="O29" s="11"/>
      <c r="P29" s="11"/>
      <c r="Q29" t="s">
        <v>4</v>
      </c>
      <c r="R29" s="10" t="s">
        <v>154</v>
      </c>
      <c r="S29" s="10" t="s">
        <v>154</v>
      </c>
      <c r="T29" s="10" t="s">
        <v>154</v>
      </c>
      <c r="U29" s="11"/>
      <c r="V29" s="11"/>
      <c r="W29" t="s">
        <v>4</v>
      </c>
      <c r="X29" s="12"/>
      <c r="Y29" s="10"/>
      <c r="Z29" s="10"/>
      <c r="AA29" s="10"/>
      <c r="AB29" s="12"/>
      <c r="AC29" s="12"/>
      <c r="AD29" s="11"/>
      <c r="AE29" s="11"/>
      <c r="AF29" t="s">
        <v>4</v>
      </c>
      <c r="AG29" s="10"/>
      <c r="AH29" s="10"/>
      <c r="AI29" s="10"/>
      <c r="AJ29" s="11"/>
      <c r="AK29" s="11"/>
      <c r="AL29" t="s">
        <v>4</v>
      </c>
      <c r="AM29" s="10"/>
      <c r="AN29" s="10"/>
      <c r="AO29" s="10"/>
      <c r="AP29" s="11"/>
      <c r="AQ29" s="11"/>
      <c r="AR29" t="s">
        <v>4</v>
      </c>
      <c r="AS29" s="10"/>
      <c r="AT29" s="10"/>
      <c r="AU29" s="10"/>
      <c r="AV29" s="11"/>
      <c r="AW29" s="11"/>
      <c r="AX29" t="s">
        <v>4</v>
      </c>
      <c r="AY29" s="10"/>
      <c r="AZ29" s="10"/>
      <c r="BA29" s="10"/>
      <c r="BB29" s="11"/>
      <c r="BC29" s="12"/>
      <c r="BF29">
        <f t="shared" si="0"/>
        <v>3</v>
      </c>
      <c r="BG29">
        <f t="shared" si="1"/>
        <v>0</v>
      </c>
      <c r="BH29">
        <f t="shared" si="2"/>
        <v>0</v>
      </c>
      <c r="BI29">
        <f t="shared" si="3"/>
        <v>2</v>
      </c>
      <c r="BJ29">
        <f t="shared" si="4"/>
        <v>0</v>
      </c>
      <c r="BK29">
        <f t="shared" si="5"/>
        <v>0</v>
      </c>
      <c r="BL29">
        <f t="shared" si="6"/>
        <v>3</v>
      </c>
      <c r="BM29">
        <f t="shared" si="7"/>
        <v>0</v>
      </c>
    </row>
    <row r="30" spans="1:65">
      <c r="A30" t="s">
        <v>30</v>
      </c>
      <c r="C30" s="12"/>
      <c r="D30" s="11"/>
      <c r="E30" s="11"/>
      <c r="F30" t="s">
        <v>4</v>
      </c>
      <c r="G30" s="10" t="s">
        <v>159</v>
      </c>
      <c r="H30" s="10" t="s">
        <v>159</v>
      </c>
      <c r="I30" s="10" t="s">
        <v>159</v>
      </c>
      <c r="J30" s="11"/>
      <c r="K30" s="11"/>
      <c r="L30" t="s">
        <v>4</v>
      </c>
      <c r="M30" s="10"/>
      <c r="N30" s="10"/>
      <c r="O30" s="10"/>
      <c r="P30" s="11"/>
      <c r="Q30" s="11"/>
      <c r="R30" t="s">
        <v>4</v>
      </c>
      <c r="S30" s="10" t="s">
        <v>152</v>
      </c>
      <c r="T30" s="10" t="s">
        <v>152</v>
      </c>
      <c r="U30" s="10" t="s">
        <v>152</v>
      </c>
      <c r="V30" s="11"/>
      <c r="W30" s="11"/>
      <c r="X30" s="12"/>
      <c r="Y30" t="s">
        <v>4</v>
      </c>
      <c r="Z30" s="10"/>
      <c r="AA30" s="10"/>
      <c r="AB30" s="12"/>
      <c r="AC30" s="12"/>
      <c r="AD30" s="10"/>
      <c r="AE30" s="11"/>
      <c r="AF30" s="11"/>
      <c r="AG30" t="s">
        <v>4</v>
      </c>
      <c r="AH30" s="10"/>
      <c r="AI30" s="10"/>
      <c r="AJ30" s="10"/>
      <c r="AK30" s="11"/>
      <c r="AL30" s="11"/>
      <c r="AM30" t="s">
        <v>4</v>
      </c>
      <c r="AN30" s="10"/>
      <c r="AO30" s="10"/>
      <c r="AP30" s="10"/>
      <c r="AQ30" s="11"/>
      <c r="AR30" s="11"/>
      <c r="AS30" t="s">
        <v>4</v>
      </c>
      <c r="AT30" s="10"/>
      <c r="AU30" s="10"/>
      <c r="AV30" s="10"/>
      <c r="AW30" s="11"/>
      <c r="AX30" s="11"/>
      <c r="AY30" t="s">
        <v>4</v>
      </c>
      <c r="AZ30" s="10"/>
      <c r="BA30" s="10"/>
      <c r="BB30" s="10"/>
      <c r="BC30" s="12"/>
      <c r="BF30">
        <f t="shared" si="0"/>
        <v>3</v>
      </c>
      <c r="BG30">
        <f t="shared" si="1"/>
        <v>3</v>
      </c>
      <c r="BH30">
        <f t="shared" si="2"/>
        <v>0</v>
      </c>
      <c r="BI30">
        <f t="shared" si="3"/>
        <v>0</v>
      </c>
      <c r="BJ30">
        <f t="shared" si="4"/>
        <v>0</v>
      </c>
      <c r="BK30">
        <f t="shared" si="5"/>
        <v>0</v>
      </c>
      <c r="BL30">
        <f t="shared" si="6"/>
        <v>0</v>
      </c>
      <c r="BM30">
        <f t="shared" si="7"/>
        <v>0</v>
      </c>
    </row>
    <row r="31" spans="1:65">
      <c r="A31" t="s">
        <v>31</v>
      </c>
      <c r="C31" s="12"/>
      <c r="D31" s="10"/>
      <c r="E31" s="11"/>
      <c r="F31" s="11"/>
      <c r="G31" t="s">
        <v>4</v>
      </c>
      <c r="H31" s="10"/>
      <c r="I31" s="10"/>
      <c r="J31" s="10"/>
      <c r="K31" s="11"/>
      <c r="L31" s="11" t="s">
        <v>214</v>
      </c>
      <c r="M31" t="s">
        <v>4</v>
      </c>
      <c r="N31" s="10" t="s">
        <v>177</v>
      </c>
      <c r="O31" s="10" t="s">
        <v>177</v>
      </c>
      <c r="P31" s="10"/>
      <c r="Q31" s="11"/>
      <c r="R31" s="11"/>
      <c r="S31" t="s">
        <v>4</v>
      </c>
      <c r="T31" s="10" t="s">
        <v>153</v>
      </c>
      <c r="U31" s="10" t="s">
        <v>153</v>
      </c>
      <c r="V31" s="10" t="s">
        <v>153</v>
      </c>
      <c r="W31" s="11"/>
      <c r="X31" s="12"/>
      <c r="Y31" s="11"/>
      <c r="Z31" t="s">
        <v>4</v>
      </c>
      <c r="AA31" s="10"/>
      <c r="AB31" s="12"/>
      <c r="AC31" s="12"/>
      <c r="AD31" s="10"/>
      <c r="AE31" s="10"/>
      <c r="AF31" s="11"/>
      <c r="AG31" s="11"/>
      <c r="AH31" t="s">
        <v>4</v>
      </c>
      <c r="AI31" s="10"/>
      <c r="AJ31" s="10"/>
      <c r="AK31" s="10"/>
      <c r="AL31" s="11"/>
      <c r="AM31" s="11"/>
      <c r="AN31" t="s">
        <v>4</v>
      </c>
      <c r="AO31" s="10"/>
      <c r="AP31" s="10"/>
      <c r="AQ31" s="10"/>
      <c r="AR31" s="11"/>
      <c r="AS31" s="11"/>
      <c r="AT31" t="s">
        <v>4</v>
      </c>
      <c r="AU31" s="10"/>
      <c r="AV31" s="10"/>
      <c r="AW31" s="10"/>
      <c r="AX31" s="11"/>
      <c r="AY31" s="11"/>
      <c r="AZ31" t="s">
        <v>4</v>
      </c>
      <c r="BA31" s="10"/>
      <c r="BB31" s="10"/>
      <c r="BC31" s="12"/>
      <c r="BF31">
        <f t="shared" si="0"/>
        <v>3</v>
      </c>
      <c r="BG31">
        <f t="shared" si="1"/>
        <v>0</v>
      </c>
      <c r="BH31">
        <f t="shared" si="2"/>
        <v>0</v>
      </c>
      <c r="BI31">
        <f t="shared" si="3"/>
        <v>2</v>
      </c>
      <c r="BJ31">
        <f t="shared" si="4"/>
        <v>0</v>
      </c>
      <c r="BK31">
        <f t="shared" si="5"/>
        <v>0</v>
      </c>
      <c r="BL31">
        <f t="shared" si="6"/>
        <v>0</v>
      </c>
      <c r="BM31">
        <f t="shared" si="7"/>
        <v>0</v>
      </c>
    </row>
    <row r="32" spans="1:65">
      <c r="A32" t="s">
        <v>32</v>
      </c>
      <c r="C32" s="12"/>
      <c r="D32" s="10"/>
      <c r="E32" s="10"/>
      <c r="F32" s="11"/>
      <c r="G32" s="11"/>
      <c r="H32" t="s">
        <v>4</v>
      </c>
      <c r="I32" s="10"/>
      <c r="J32" s="10"/>
      <c r="K32" s="10"/>
      <c r="L32" s="11" t="s">
        <v>214</v>
      </c>
      <c r="M32" s="11"/>
      <c r="N32" t="s">
        <v>4</v>
      </c>
      <c r="O32" s="10"/>
      <c r="P32" s="10" t="s">
        <v>177</v>
      </c>
      <c r="Q32" s="10" t="s">
        <v>177</v>
      </c>
      <c r="R32" s="11"/>
      <c r="S32" s="11"/>
      <c r="T32" t="s">
        <v>4</v>
      </c>
      <c r="U32" s="10" t="s">
        <v>154</v>
      </c>
      <c r="V32" s="10" t="s">
        <v>154</v>
      </c>
      <c r="W32" s="10" t="s">
        <v>154</v>
      </c>
      <c r="X32" s="12"/>
      <c r="Y32" s="11"/>
      <c r="Z32" s="11"/>
      <c r="AA32" t="s">
        <v>4</v>
      </c>
      <c r="AB32" s="12"/>
      <c r="AC32" s="12"/>
      <c r="AD32" s="10"/>
      <c r="AE32" s="10"/>
      <c r="AF32" s="10"/>
      <c r="AG32" s="11"/>
      <c r="AH32" s="11"/>
      <c r="AI32" t="s">
        <v>4</v>
      </c>
      <c r="AJ32" s="10"/>
      <c r="AK32" s="10"/>
      <c r="AL32" s="10"/>
      <c r="AM32" s="11"/>
      <c r="AN32" s="11"/>
      <c r="AO32" t="s">
        <v>4</v>
      </c>
      <c r="AP32" s="10"/>
      <c r="AQ32" s="10"/>
      <c r="AR32" s="10"/>
      <c r="AS32" s="11"/>
      <c r="AT32" s="11"/>
      <c r="AU32" t="s">
        <v>4</v>
      </c>
      <c r="AV32" s="10"/>
      <c r="AW32" s="10"/>
      <c r="AX32" s="10"/>
      <c r="AY32" s="11"/>
      <c r="AZ32" s="11"/>
      <c r="BA32" t="s">
        <v>4</v>
      </c>
      <c r="BB32" s="10"/>
      <c r="BC32" s="12"/>
      <c r="BF32">
        <f t="shared" si="0"/>
        <v>3</v>
      </c>
      <c r="BG32">
        <f t="shared" si="1"/>
        <v>0</v>
      </c>
      <c r="BH32">
        <f t="shared" si="2"/>
        <v>0</v>
      </c>
      <c r="BI32">
        <f t="shared" si="3"/>
        <v>2</v>
      </c>
      <c r="BJ32">
        <f t="shared" si="4"/>
        <v>0</v>
      </c>
      <c r="BK32">
        <f t="shared" si="5"/>
        <v>0</v>
      </c>
      <c r="BL32">
        <f t="shared" si="6"/>
        <v>0</v>
      </c>
      <c r="BM32">
        <f t="shared" si="7"/>
        <v>0</v>
      </c>
    </row>
    <row r="33" spans="1:65">
      <c r="A33" t="s">
        <v>33</v>
      </c>
      <c r="C33" s="12"/>
      <c r="D33" s="10" t="s">
        <v>175</v>
      </c>
      <c r="E33" s="10" t="s">
        <v>175</v>
      </c>
      <c r="F33" s="11"/>
      <c r="G33" s="10" t="s">
        <v>171</v>
      </c>
      <c r="H33" s="11"/>
      <c r="I33" t="s">
        <v>4</v>
      </c>
      <c r="J33" s="10" t="s">
        <v>159</v>
      </c>
      <c r="K33" s="10" t="s">
        <v>159</v>
      </c>
      <c r="L33" s="10" t="s">
        <v>159</v>
      </c>
      <c r="M33" s="11"/>
      <c r="N33" s="11"/>
      <c r="O33" t="s">
        <v>4</v>
      </c>
      <c r="P33" s="10" t="s">
        <v>165</v>
      </c>
      <c r="Q33" s="11"/>
      <c r="R33" s="10" t="s">
        <v>165</v>
      </c>
      <c r="S33" s="11"/>
      <c r="T33" s="10" t="s">
        <v>165</v>
      </c>
      <c r="U33" t="s">
        <v>4</v>
      </c>
      <c r="V33" s="10" t="s">
        <v>152</v>
      </c>
      <c r="W33" s="10" t="s">
        <v>152</v>
      </c>
      <c r="X33" s="12"/>
      <c r="Y33" s="10"/>
      <c r="Z33" s="11"/>
      <c r="AA33" s="11"/>
      <c r="AB33" s="12"/>
      <c r="AC33" s="12"/>
      <c r="AD33" t="s">
        <v>4</v>
      </c>
      <c r="AE33" s="10"/>
      <c r="AF33" s="10"/>
      <c r="AG33" s="10"/>
      <c r="AH33" s="11"/>
      <c r="AI33" s="11"/>
      <c r="AJ33" t="s">
        <v>4</v>
      </c>
      <c r="AK33" s="10"/>
      <c r="AL33" s="10"/>
      <c r="AM33" s="10"/>
      <c r="AN33" s="11"/>
      <c r="AO33" s="11"/>
      <c r="AP33" t="s">
        <v>4</v>
      </c>
      <c r="AQ33" s="10"/>
      <c r="AR33" s="10"/>
      <c r="AS33" s="10"/>
      <c r="AT33" s="11"/>
      <c r="AU33" s="11"/>
      <c r="AV33" t="s">
        <v>4</v>
      </c>
      <c r="AW33" s="10"/>
      <c r="AX33" s="10"/>
      <c r="AY33" s="10"/>
      <c r="AZ33" s="11"/>
      <c r="BA33" s="11"/>
      <c r="BB33" t="s">
        <v>4</v>
      </c>
      <c r="BC33" s="12"/>
      <c r="BF33">
        <f t="shared" si="0"/>
        <v>2</v>
      </c>
      <c r="BG33">
        <f t="shared" si="1"/>
        <v>3</v>
      </c>
      <c r="BH33">
        <f t="shared" si="2"/>
        <v>3</v>
      </c>
      <c r="BI33">
        <f t="shared" si="3"/>
        <v>2</v>
      </c>
      <c r="BJ33">
        <f t="shared" si="4"/>
        <v>0</v>
      </c>
      <c r="BK33">
        <f t="shared" si="5"/>
        <v>0</v>
      </c>
      <c r="BL33">
        <f t="shared" si="6"/>
        <v>0</v>
      </c>
      <c r="BM33">
        <f t="shared" si="7"/>
        <v>0</v>
      </c>
    </row>
    <row r="34" spans="1:65">
      <c r="A34" t="s">
        <v>34</v>
      </c>
      <c r="C34" s="12"/>
      <c r="D34" t="s">
        <v>4</v>
      </c>
      <c r="E34" s="10" t="s">
        <v>176</v>
      </c>
      <c r="F34" s="10" t="s">
        <v>176</v>
      </c>
      <c r="G34" s="11"/>
      <c r="H34" s="10" t="s">
        <v>171</v>
      </c>
      <c r="I34" s="11"/>
      <c r="J34" t="s">
        <v>4</v>
      </c>
      <c r="K34" s="10" t="s">
        <v>164</v>
      </c>
      <c r="L34" s="11" t="s">
        <v>214</v>
      </c>
      <c r="M34" s="10" t="s">
        <v>164</v>
      </c>
      <c r="N34" s="11"/>
      <c r="O34" s="10" t="s">
        <v>164</v>
      </c>
      <c r="P34" t="s">
        <v>4</v>
      </c>
      <c r="Q34" s="10" t="s">
        <v>170</v>
      </c>
      <c r="R34" s="11"/>
      <c r="S34" s="10" t="s">
        <v>170</v>
      </c>
      <c r="T34" s="11"/>
      <c r="U34" s="10" t="s">
        <v>170</v>
      </c>
      <c r="V34" t="s">
        <v>4</v>
      </c>
      <c r="W34" s="10"/>
      <c r="X34" s="12"/>
      <c r="Y34" s="10"/>
      <c r="Z34" s="10"/>
      <c r="AA34" s="11"/>
      <c r="AB34" s="12"/>
      <c r="AC34" s="12"/>
      <c r="AD34" s="11"/>
      <c r="AE34" t="s">
        <v>4</v>
      </c>
      <c r="AF34" s="10"/>
      <c r="AG34" s="10"/>
      <c r="AH34" s="10"/>
      <c r="AI34" s="11"/>
      <c r="AJ34" s="11"/>
      <c r="AK34" t="s">
        <v>4</v>
      </c>
      <c r="AL34" s="10"/>
      <c r="AM34" s="10"/>
      <c r="AN34" s="10"/>
      <c r="AO34" s="11"/>
      <c r="AP34" s="11"/>
      <c r="AQ34" t="s">
        <v>4</v>
      </c>
      <c r="AR34" s="10"/>
      <c r="AS34" s="10"/>
      <c r="AT34" s="10"/>
      <c r="AU34" s="11"/>
      <c r="AV34" s="11"/>
      <c r="AW34" t="s">
        <v>4</v>
      </c>
      <c r="AX34" s="10"/>
      <c r="AY34" s="10"/>
      <c r="AZ34" s="10"/>
      <c r="BA34" s="11"/>
      <c r="BB34" s="11"/>
      <c r="BC34" s="12"/>
      <c r="BF34">
        <f t="shared" si="0"/>
        <v>0</v>
      </c>
      <c r="BG34">
        <f t="shared" si="1"/>
        <v>0</v>
      </c>
      <c r="BH34">
        <f t="shared" si="2"/>
        <v>3</v>
      </c>
      <c r="BI34">
        <f t="shared" si="3"/>
        <v>2</v>
      </c>
      <c r="BJ34">
        <f t="shared" si="4"/>
        <v>3</v>
      </c>
      <c r="BK34">
        <f t="shared" si="5"/>
        <v>0</v>
      </c>
      <c r="BL34">
        <f t="shared" si="6"/>
        <v>0</v>
      </c>
      <c r="BM34">
        <f t="shared" si="7"/>
        <v>0</v>
      </c>
    </row>
    <row r="35" spans="1:65">
      <c r="A35" t="s">
        <v>35</v>
      </c>
      <c r="C35" s="12"/>
      <c r="D35" s="11"/>
      <c r="E35" t="s">
        <v>4</v>
      </c>
      <c r="F35" s="10" t="s">
        <v>175</v>
      </c>
      <c r="G35" s="10" t="s">
        <v>175</v>
      </c>
      <c r="H35" s="11"/>
      <c r="I35" s="10" t="s">
        <v>171</v>
      </c>
      <c r="J35" s="11"/>
      <c r="K35" t="s">
        <v>4</v>
      </c>
      <c r="L35" s="10" t="s">
        <v>164</v>
      </c>
      <c r="M35" s="11"/>
      <c r="N35" s="10" t="s">
        <v>164</v>
      </c>
      <c r="O35" s="11"/>
      <c r="P35" s="10" t="s">
        <v>164</v>
      </c>
      <c r="Q35" t="s">
        <v>4</v>
      </c>
      <c r="R35" s="10" t="s">
        <v>167</v>
      </c>
      <c r="S35" s="11"/>
      <c r="T35" s="10" t="s">
        <v>167</v>
      </c>
      <c r="U35" s="11"/>
      <c r="V35" s="10" t="s">
        <v>167</v>
      </c>
      <c r="W35" t="s">
        <v>4</v>
      </c>
      <c r="X35" s="12"/>
      <c r="Y35" s="10"/>
      <c r="Z35" s="10"/>
      <c r="AA35" s="10"/>
      <c r="AB35" s="12"/>
      <c r="AC35" s="12"/>
      <c r="AD35" s="11"/>
      <c r="AE35" s="11"/>
      <c r="AF35" t="s">
        <v>4</v>
      </c>
      <c r="AG35" s="10"/>
      <c r="AH35" s="10"/>
      <c r="AI35" s="10"/>
      <c r="AJ35" s="11"/>
      <c r="AK35" s="11"/>
      <c r="AL35" t="s">
        <v>4</v>
      </c>
      <c r="AM35" s="10"/>
      <c r="AN35" s="10"/>
      <c r="AO35" s="10"/>
      <c r="AP35" s="11"/>
      <c r="AQ35" s="11"/>
      <c r="AR35" t="s">
        <v>4</v>
      </c>
      <c r="AS35" s="10"/>
      <c r="AT35" s="10"/>
      <c r="AU35" s="10"/>
      <c r="AV35" s="11"/>
      <c r="AW35" s="11"/>
      <c r="AX35" t="s">
        <v>4</v>
      </c>
      <c r="AY35" s="10"/>
      <c r="AZ35" s="10"/>
      <c r="BA35" s="10"/>
      <c r="BB35" s="11"/>
      <c r="BC35" s="12"/>
      <c r="BF35">
        <f t="shared" si="0"/>
        <v>0</v>
      </c>
      <c r="BG35">
        <f t="shared" si="1"/>
        <v>0</v>
      </c>
      <c r="BH35">
        <f t="shared" si="2"/>
        <v>3</v>
      </c>
      <c r="BI35">
        <f t="shared" si="3"/>
        <v>2</v>
      </c>
      <c r="BJ35">
        <f t="shared" si="4"/>
        <v>0</v>
      </c>
      <c r="BK35">
        <f t="shared" si="5"/>
        <v>3</v>
      </c>
      <c r="BL35">
        <f t="shared" si="6"/>
        <v>0</v>
      </c>
      <c r="BM35">
        <f t="shared" si="7"/>
        <v>0</v>
      </c>
    </row>
    <row r="36" spans="1:65">
      <c r="A36" t="s">
        <v>36</v>
      </c>
      <c r="C36" s="12"/>
      <c r="D36" s="11"/>
      <c r="E36" s="11"/>
      <c r="F36" t="s">
        <v>4</v>
      </c>
      <c r="G36" s="10" t="s">
        <v>176</v>
      </c>
      <c r="H36" s="10" t="s">
        <v>176</v>
      </c>
      <c r="I36" s="11"/>
      <c r="J36" s="10" t="s">
        <v>171</v>
      </c>
      <c r="K36" s="11"/>
      <c r="L36" t="s">
        <v>4</v>
      </c>
      <c r="M36" s="10" t="s">
        <v>159</v>
      </c>
      <c r="N36" s="10" t="s">
        <v>159</v>
      </c>
      <c r="O36" s="10" t="s">
        <v>159</v>
      </c>
      <c r="P36" s="11"/>
      <c r="Q36" s="11"/>
      <c r="R36" t="s">
        <v>4</v>
      </c>
      <c r="S36" s="10" t="s">
        <v>159</v>
      </c>
      <c r="T36" s="10" t="s">
        <v>159</v>
      </c>
      <c r="U36" s="10" t="s">
        <v>159</v>
      </c>
      <c r="V36" s="11"/>
      <c r="W36" s="11"/>
      <c r="X36" s="12"/>
      <c r="Y36" t="s">
        <v>4</v>
      </c>
      <c r="Z36" s="10"/>
      <c r="AA36" s="10"/>
      <c r="AB36" s="12"/>
      <c r="AC36" s="12"/>
      <c r="AD36" s="10"/>
      <c r="AE36" s="11"/>
      <c r="AF36" s="11"/>
      <c r="AG36" t="s">
        <v>4</v>
      </c>
      <c r="AH36" s="10"/>
      <c r="AI36" s="10"/>
      <c r="AJ36" s="10"/>
      <c r="AK36" s="11"/>
      <c r="AL36" s="11"/>
      <c r="AM36" t="s">
        <v>4</v>
      </c>
      <c r="AN36" s="10"/>
      <c r="AO36" s="10"/>
      <c r="AP36" s="10"/>
      <c r="AQ36" s="11"/>
      <c r="AR36" s="11"/>
      <c r="AS36" t="s">
        <v>4</v>
      </c>
      <c r="AT36" s="10"/>
      <c r="AU36" s="10"/>
      <c r="AV36" s="10"/>
      <c r="AW36" s="11"/>
      <c r="AX36" s="11"/>
      <c r="AY36" t="s">
        <v>4</v>
      </c>
      <c r="AZ36" s="10"/>
      <c r="BA36" s="10"/>
      <c r="BB36" s="10"/>
      <c r="BC36" s="12"/>
      <c r="BF36">
        <f t="shared" si="0"/>
        <v>0</v>
      </c>
      <c r="BG36">
        <f t="shared" si="1"/>
        <v>6</v>
      </c>
      <c r="BH36">
        <f t="shared" si="2"/>
        <v>0</v>
      </c>
      <c r="BI36">
        <f t="shared" si="3"/>
        <v>2</v>
      </c>
      <c r="BJ36">
        <f t="shared" si="4"/>
        <v>0</v>
      </c>
      <c r="BK36">
        <f t="shared" si="5"/>
        <v>0</v>
      </c>
      <c r="BL36">
        <f t="shared" si="6"/>
        <v>0</v>
      </c>
      <c r="BM36">
        <f t="shared" si="7"/>
        <v>0</v>
      </c>
    </row>
    <row r="37" spans="1:65">
      <c r="A37" t="s">
        <v>37</v>
      </c>
      <c r="C37" s="12"/>
      <c r="D37" s="10"/>
      <c r="E37" s="11"/>
      <c r="F37" s="11"/>
      <c r="G37" t="s">
        <v>4</v>
      </c>
      <c r="H37" s="10" t="s">
        <v>175</v>
      </c>
      <c r="I37" s="10" t="s">
        <v>175</v>
      </c>
      <c r="J37" s="11"/>
      <c r="K37" s="10" t="s">
        <v>171</v>
      </c>
      <c r="L37" s="11" t="s">
        <v>214</v>
      </c>
      <c r="M37" t="s">
        <v>4</v>
      </c>
      <c r="N37" s="10"/>
      <c r="O37" s="10"/>
      <c r="P37" s="10"/>
      <c r="Q37" s="11"/>
      <c r="R37" s="11"/>
      <c r="S37" t="s">
        <v>4</v>
      </c>
      <c r="T37" s="10" t="s">
        <v>160</v>
      </c>
      <c r="U37" s="10" t="s">
        <v>160</v>
      </c>
      <c r="V37" s="10" t="s">
        <v>160</v>
      </c>
      <c r="W37" s="11"/>
      <c r="X37" s="12"/>
      <c r="Y37" s="11"/>
      <c r="Z37" t="s">
        <v>4</v>
      </c>
      <c r="AA37" s="10"/>
      <c r="AB37" s="12"/>
      <c r="AC37" s="12"/>
      <c r="AD37" s="10"/>
      <c r="AE37" s="10"/>
      <c r="AF37" s="11"/>
      <c r="AG37" s="11"/>
      <c r="AH37" t="s">
        <v>4</v>
      </c>
      <c r="AI37" s="10"/>
      <c r="AJ37" s="10"/>
      <c r="AK37" s="10"/>
      <c r="AL37" s="11"/>
      <c r="AM37" s="11"/>
      <c r="AN37" t="s">
        <v>4</v>
      </c>
      <c r="AO37" s="10"/>
      <c r="AP37" s="10"/>
      <c r="AQ37" s="10"/>
      <c r="AR37" s="11"/>
      <c r="AS37" s="11"/>
      <c r="AT37" t="s">
        <v>4</v>
      </c>
      <c r="AU37" s="10"/>
      <c r="AV37" s="10"/>
      <c r="AW37" s="10"/>
      <c r="AX37" s="11"/>
      <c r="AY37" s="11"/>
      <c r="AZ37" t="s">
        <v>4</v>
      </c>
      <c r="BA37" s="10"/>
      <c r="BB37" s="10"/>
      <c r="BC37" s="12"/>
      <c r="BF37">
        <f t="shared" si="0"/>
        <v>0</v>
      </c>
      <c r="BG37">
        <f t="shared" si="1"/>
        <v>3</v>
      </c>
      <c r="BH37">
        <f t="shared" si="2"/>
        <v>0</v>
      </c>
      <c r="BI37">
        <f t="shared" si="3"/>
        <v>2</v>
      </c>
      <c r="BJ37">
        <f t="shared" si="4"/>
        <v>0</v>
      </c>
      <c r="BK37">
        <f t="shared" si="5"/>
        <v>0</v>
      </c>
      <c r="BL37">
        <f t="shared" si="6"/>
        <v>0</v>
      </c>
      <c r="BM37">
        <f t="shared" si="7"/>
        <v>0</v>
      </c>
    </row>
    <row r="38" spans="1:65">
      <c r="A38" t="s">
        <v>38</v>
      </c>
      <c r="C38" s="12"/>
      <c r="D38" s="10"/>
      <c r="E38" s="10"/>
      <c r="F38" s="11"/>
      <c r="G38" s="11"/>
      <c r="H38" t="s">
        <v>4</v>
      </c>
      <c r="I38" s="10" t="s">
        <v>176</v>
      </c>
      <c r="J38" s="10" t="s">
        <v>176</v>
      </c>
      <c r="K38" s="11"/>
      <c r="L38" s="10" t="s">
        <v>171</v>
      </c>
      <c r="M38" s="11"/>
      <c r="N38" t="s">
        <v>4</v>
      </c>
      <c r="O38" s="10"/>
      <c r="P38" s="10"/>
      <c r="Q38" s="10"/>
      <c r="R38" s="11"/>
      <c r="S38" s="11"/>
      <c r="T38" t="s">
        <v>4</v>
      </c>
      <c r="U38" s="10" t="s">
        <v>162</v>
      </c>
      <c r="V38" s="10" t="s">
        <v>162</v>
      </c>
      <c r="W38" s="10" t="s">
        <v>162</v>
      </c>
      <c r="X38" s="12"/>
      <c r="Y38" s="11"/>
      <c r="Z38" s="11"/>
      <c r="AA38" t="s">
        <v>4</v>
      </c>
      <c r="AB38" s="12"/>
      <c r="AC38" s="12"/>
      <c r="AD38" s="10"/>
      <c r="AE38" s="10"/>
      <c r="AF38" s="10"/>
      <c r="AG38" s="11"/>
      <c r="AH38" s="11"/>
      <c r="AI38" t="s">
        <v>4</v>
      </c>
      <c r="AJ38" s="10"/>
      <c r="AK38" s="10"/>
      <c r="AL38" s="10"/>
      <c r="AM38" s="11"/>
      <c r="AN38" s="11"/>
      <c r="AO38" t="s">
        <v>4</v>
      </c>
      <c r="AP38" s="10"/>
      <c r="AQ38" s="10"/>
      <c r="AR38" s="10"/>
      <c r="AS38" s="11"/>
      <c r="AT38" s="11"/>
      <c r="AU38" t="s">
        <v>4</v>
      </c>
      <c r="AV38" s="10"/>
      <c r="AW38" s="10"/>
      <c r="AX38" s="10"/>
      <c r="AY38" s="11"/>
      <c r="AZ38" s="11"/>
      <c r="BA38" t="s">
        <v>4</v>
      </c>
      <c r="BB38" s="10"/>
      <c r="BC38" s="12"/>
      <c r="BF38">
        <f t="shared" si="0"/>
        <v>0</v>
      </c>
      <c r="BG38">
        <f t="shared" si="1"/>
        <v>3</v>
      </c>
      <c r="BH38">
        <f t="shared" si="2"/>
        <v>0</v>
      </c>
      <c r="BI38">
        <f t="shared" si="3"/>
        <v>2</v>
      </c>
      <c r="BJ38">
        <f t="shared" si="4"/>
        <v>0</v>
      </c>
      <c r="BK38">
        <f t="shared" si="5"/>
        <v>0</v>
      </c>
      <c r="BL38">
        <f t="shared" si="6"/>
        <v>0</v>
      </c>
      <c r="BM38">
        <f t="shared" si="7"/>
        <v>0</v>
      </c>
    </row>
    <row r="39" spans="1:65">
      <c r="A39" t="s">
        <v>39</v>
      </c>
      <c r="C39" s="12"/>
      <c r="D39" s="10" t="s">
        <v>156</v>
      </c>
      <c r="E39" s="10" t="s">
        <v>156</v>
      </c>
      <c r="F39" s="10" t="s">
        <v>156</v>
      </c>
      <c r="G39" s="11"/>
      <c r="H39" s="11"/>
      <c r="I39" t="s">
        <v>4</v>
      </c>
      <c r="J39" s="10" t="s">
        <v>175</v>
      </c>
      <c r="K39" s="10" t="s">
        <v>175</v>
      </c>
      <c r="L39" s="11" t="s">
        <v>214</v>
      </c>
      <c r="M39" s="10" t="s">
        <v>171</v>
      </c>
      <c r="N39" s="11"/>
      <c r="O39" t="s">
        <v>4</v>
      </c>
      <c r="P39" s="10" t="s">
        <v>159</v>
      </c>
      <c r="Q39" s="10" t="s">
        <v>159</v>
      </c>
      <c r="R39" s="10" t="s">
        <v>159</v>
      </c>
      <c r="S39" s="11"/>
      <c r="T39" s="11"/>
      <c r="U39" t="s">
        <v>4</v>
      </c>
      <c r="V39" s="10" t="s">
        <v>159</v>
      </c>
      <c r="W39" s="10" t="s">
        <v>159</v>
      </c>
      <c r="X39" s="12"/>
      <c r="Y39" s="10"/>
      <c r="Z39" s="11"/>
      <c r="AA39" s="11"/>
      <c r="AB39" s="12"/>
      <c r="AC39" s="12"/>
      <c r="AD39" t="s">
        <v>4</v>
      </c>
      <c r="AE39" s="10"/>
      <c r="AF39" s="10"/>
      <c r="AG39" s="10"/>
      <c r="AH39" s="11"/>
      <c r="AI39" s="11"/>
      <c r="AJ39" t="s">
        <v>4</v>
      </c>
      <c r="AK39" s="10"/>
      <c r="AL39" s="10"/>
      <c r="AM39" s="10"/>
      <c r="AN39" s="11"/>
      <c r="AO39" s="11"/>
      <c r="AP39" t="s">
        <v>4</v>
      </c>
      <c r="AQ39" s="10"/>
      <c r="AR39" s="10"/>
      <c r="AS39" s="10"/>
      <c r="AT39" s="11"/>
      <c r="AU39" s="11"/>
      <c r="AV39" t="s">
        <v>4</v>
      </c>
      <c r="AW39" s="10"/>
      <c r="AX39" s="10"/>
      <c r="AY39" s="10"/>
      <c r="AZ39" s="11"/>
      <c r="BA39" s="11"/>
      <c r="BB39" t="s">
        <v>4</v>
      </c>
      <c r="BC39" s="12"/>
      <c r="BF39">
        <f t="shared" si="0"/>
        <v>3</v>
      </c>
      <c r="BG39">
        <f t="shared" si="1"/>
        <v>5</v>
      </c>
      <c r="BH39">
        <f t="shared" si="2"/>
        <v>0</v>
      </c>
      <c r="BI39">
        <f t="shared" si="3"/>
        <v>2</v>
      </c>
      <c r="BJ39">
        <f t="shared" si="4"/>
        <v>0</v>
      </c>
      <c r="BK39">
        <f t="shared" si="5"/>
        <v>0</v>
      </c>
      <c r="BL39">
        <f t="shared" si="6"/>
        <v>0</v>
      </c>
      <c r="BM39">
        <f t="shared" si="7"/>
        <v>0</v>
      </c>
    </row>
    <row r="40" spans="1:65">
      <c r="A40" t="s">
        <v>40</v>
      </c>
      <c r="C40" s="12"/>
      <c r="D40" t="s">
        <v>4</v>
      </c>
      <c r="E40" s="10" t="s">
        <v>155</v>
      </c>
      <c r="F40" s="10" t="s">
        <v>155</v>
      </c>
      <c r="G40" s="10" t="s">
        <v>155</v>
      </c>
      <c r="H40" s="11"/>
      <c r="I40" s="11"/>
      <c r="J40" t="s">
        <v>4</v>
      </c>
      <c r="K40" s="10" t="s">
        <v>176</v>
      </c>
      <c r="L40" s="10" t="s">
        <v>176</v>
      </c>
      <c r="M40" s="11"/>
      <c r="N40" s="10" t="s">
        <v>171</v>
      </c>
      <c r="O40" s="11"/>
      <c r="P40" t="s">
        <v>4</v>
      </c>
      <c r="Q40" s="10" t="s">
        <v>160</v>
      </c>
      <c r="R40" s="10" t="s">
        <v>160</v>
      </c>
      <c r="S40" s="10" t="s">
        <v>160</v>
      </c>
      <c r="T40" s="11"/>
      <c r="U40" s="11"/>
      <c r="V40" t="s">
        <v>4</v>
      </c>
      <c r="W40" s="10"/>
      <c r="X40" s="12"/>
      <c r="Y40" s="10"/>
      <c r="Z40" s="10"/>
      <c r="AA40" s="11"/>
      <c r="AB40" s="12"/>
      <c r="AC40" s="12"/>
      <c r="AD40" s="11"/>
      <c r="AE40" t="s">
        <v>4</v>
      </c>
      <c r="AF40" s="10"/>
      <c r="AG40" s="10"/>
      <c r="AH40" s="10"/>
      <c r="AI40" s="11"/>
      <c r="AJ40" s="11"/>
      <c r="AK40" t="s">
        <v>4</v>
      </c>
      <c r="AL40" s="10"/>
      <c r="AM40" s="10"/>
      <c r="AN40" s="10"/>
      <c r="AO40" s="11"/>
      <c r="AP40" s="11"/>
      <c r="AQ40" t="s">
        <v>4</v>
      </c>
      <c r="AR40" s="10"/>
      <c r="AS40" s="10"/>
      <c r="AT40" s="10"/>
      <c r="AU40" s="11"/>
      <c r="AV40" s="11"/>
      <c r="AW40" t="s">
        <v>4</v>
      </c>
      <c r="AX40" s="10"/>
      <c r="AY40" s="10"/>
      <c r="AZ40" s="10"/>
      <c r="BA40" s="11"/>
      <c r="BB40" s="11"/>
      <c r="BC40" s="12"/>
      <c r="BF40">
        <f t="shared" si="0"/>
        <v>3</v>
      </c>
      <c r="BG40">
        <f t="shared" si="1"/>
        <v>3</v>
      </c>
      <c r="BH40">
        <f t="shared" si="2"/>
        <v>0</v>
      </c>
      <c r="BI40">
        <f t="shared" si="3"/>
        <v>2</v>
      </c>
      <c r="BJ40">
        <f t="shared" si="4"/>
        <v>0</v>
      </c>
      <c r="BK40">
        <f t="shared" si="5"/>
        <v>0</v>
      </c>
      <c r="BL40">
        <f t="shared" si="6"/>
        <v>0</v>
      </c>
      <c r="BM40">
        <f t="shared" si="7"/>
        <v>0</v>
      </c>
    </row>
    <row r="41" spans="1:65">
      <c r="A41" t="s">
        <v>41</v>
      </c>
      <c r="C41" s="12"/>
      <c r="D41" s="11"/>
      <c r="E41" t="s">
        <v>4</v>
      </c>
      <c r="F41" s="10" t="s">
        <v>157</v>
      </c>
      <c r="G41" s="10" t="s">
        <v>157</v>
      </c>
      <c r="H41" s="10" t="s">
        <v>157</v>
      </c>
      <c r="I41" s="11"/>
      <c r="J41" s="11"/>
      <c r="K41" t="s">
        <v>4</v>
      </c>
      <c r="L41" s="10" t="s">
        <v>175</v>
      </c>
      <c r="M41" s="10" t="s">
        <v>175</v>
      </c>
      <c r="N41" s="11"/>
      <c r="O41" s="10" t="s">
        <v>171</v>
      </c>
      <c r="P41" s="11"/>
      <c r="Q41" t="s">
        <v>4</v>
      </c>
      <c r="R41" s="10" t="s">
        <v>166</v>
      </c>
      <c r="S41" s="11"/>
      <c r="T41" s="10" t="s">
        <v>166</v>
      </c>
      <c r="U41" s="11"/>
      <c r="V41" s="10" t="s">
        <v>166</v>
      </c>
      <c r="W41" t="s">
        <v>4</v>
      </c>
      <c r="X41" s="12"/>
      <c r="Y41" s="10"/>
      <c r="Z41" s="10"/>
      <c r="AA41" s="10"/>
      <c r="AB41" s="12"/>
      <c r="AC41" s="12"/>
      <c r="AD41" s="11"/>
      <c r="AE41" s="11"/>
      <c r="AF41" t="s">
        <v>4</v>
      </c>
      <c r="AG41" s="10"/>
      <c r="AH41" s="10"/>
      <c r="AI41" s="10"/>
      <c r="AJ41" s="11"/>
      <c r="AK41" s="11"/>
      <c r="AL41" t="s">
        <v>4</v>
      </c>
      <c r="AM41" s="10"/>
      <c r="AN41" s="10"/>
      <c r="AO41" s="10"/>
      <c r="AP41" s="11"/>
      <c r="AQ41" s="11"/>
      <c r="AR41" t="s">
        <v>4</v>
      </c>
      <c r="AS41" s="10"/>
      <c r="AT41" s="10"/>
      <c r="AU41" s="10"/>
      <c r="AV41" s="11"/>
      <c r="AW41" s="11"/>
      <c r="AX41" t="s">
        <v>4</v>
      </c>
      <c r="AY41" s="10"/>
      <c r="AZ41" s="10"/>
      <c r="BA41" s="10"/>
      <c r="BB41" s="11"/>
      <c r="BC41" s="12"/>
      <c r="BF41">
        <f t="shared" si="0"/>
        <v>3</v>
      </c>
      <c r="BG41">
        <f t="shared" si="1"/>
        <v>0</v>
      </c>
      <c r="BH41">
        <f t="shared" si="2"/>
        <v>3</v>
      </c>
      <c r="BI41">
        <f t="shared" si="3"/>
        <v>2</v>
      </c>
      <c r="BJ41">
        <f t="shared" si="4"/>
        <v>0</v>
      </c>
      <c r="BK41">
        <f t="shared" si="5"/>
        <v>0</v>
      </c>
      <c r="BL41">
        <f t="shared" si="6"/>
        <v>0</v>
      </c>
      <c r="BM41">
        <f t="shared" si="7"/>
        <v>0</v>
      </c>
    </row>
    <row r="42" spans="1:65">
      <c r="A42" t="s">
        <v>42</v>
      </c>
      <c r="C42" s="12"/>
      <c r="D42" s="11"/>
      <c r="E42" s="11"/>
      <c r="F42" t="s">
        <v>4</v>
      </c>
      <c r="G42" s="10" t="s">
        <v>156</v>
      </c>
      <c r="H42" s="10" t="s">
        <v>156</v>
      </c>
      <c r="I42" s="10" t="s">
        <v>156</v>
      </c>
      <c r="J42" s="11"/>
      <c r="K42" s="11"/>
      <c r="L42" t="s">
        <v>4</v>
      </c>
      <c r="M42" s="10" t="s">
        <v>176</v>
      </c>
      <c r="N42" s="10" t="s">
        <v>176</v>
      </c>
      <c r="O42" s="11"/>
      <c r="P42" s="10" t="s">
        <v>171</v>
      </c>
      <c r="Q42" s="11"/>
      <c r="R42" t="s">
        <v>4</v>
      </c>
      <c r="S42" s="10" t="s">
        <v>156</v>
      </c>
      <c r="T42" s="10" t="s">
        <v>156</v>
      </c>
      <c r="U42" s="10" t="s">
        <v>156</v>
      </c>
      <c r="V42" s="11"/>
      <c r="W42" s="11"/>
      <c r="X42" s="12"/>
      <c r="Y42" t="s">
        <v>4</v>
      </c>
      <c r="Z42" s="10"/>
      <c r="AA42" s="10"/>
      <c r="AB42" s="12"/>
      <c r="AC42" s="12"/>
      <c r="AD42" s="10"/>
      <c r="AE42" s="11"/>
      <c r="AF42" s="11"/>
      <c r="AG42" t="s">
        <v>4</v>
      </c>
      <c r="AH42" s="10"/>
      <c r="AI42" s="10"/>
      <c r="AJ42" s="10"/>
      <c r="AK42" s="11"/>
      <c r="AL42" s="11"/>
      <c r="AM42" t="s">
        <v>4</v>
      </c>
      <c r="AN42" s="10"/>
      <c r="AO42" s="10"/>
      <c r="AP42" s="10"/>
      <c r="AQ42" s="11"/>
      <c r="AR42" s="11"/>
      <c r="AS42" t="s">
        <v>4</v>
      </c>
      <c r="AT42" s="10"/>
      <c r="AU42" s="10"/>
      <c r="AV42" s="10"/>
      <c r="AW42" s="11"/>
      <c r="AX42" s="11"/>
      <c r="AY42" t="s">
        <v>4</v>
      </c>
      <c r="AZ42" s="10"/>
      <c r="BA42" s="10"/>
      <c r="BB42" s="10"/>
      <c r="BC42" s="12"/>
      <c r="BF42">
        <f t="shared" si="0"/>
        <v>6</v>
      </c>
      <c r="BG42">
        <f t="shared" si="1"/>
        <v>0</v>
      </c>
      <c r="BH42">
        <f t="shared" si="2"/>
        <v>0</v>
      </c>
      <c r="BI42">
        <f t="shared" si="3"/>
        <v>2</v>
      </c>
      <c r="BJ42">
        <f t="shared" si="4"/>
        <v>0</v>
      </c>
      <c r="BK42">
        <f t="shared" si="5"/>
        <v>0</v>
      </c>
      <c r="BL42">
        <f t="shared" si="6"/>
        <v>0</v>
      </c>
      <c r="BM42">
        <f t="shared" si="7"/>
        <v>0</v>
      </c>
    </row>
    <row r="43" spans="1:65">
      <c r="A43" t="s">
        <v>43</v>
      </c>
      <c r="C43" s="12"/>
      <c r="D43" s="10"/>
      <c r="E43" s="11"/>
      <c r="F43" s="11"/>
      <c r="G43" t="s">
        <v>4</v>
      </c>
      <c r="H43" s="10" t="s">
        <v>155</v>
      </c>
      <c r="I43" s="10" t="s">
        <v>155</v>
      </c>
      <c r="J43" s="10" t="s">
        <v>155</v>
      </c>
      <c r="K43" s="11"/>
      <c r="L43" s="11" t="s">
        <v>214</v>
      </c>
      <c r="M43" t="s">
        <v>4</v>
      </c>
      <c r="N43" s="10" t="s">
        <v>175</v>
      </c>
      <c r="O43" s="10" t="s">
        <v>175</v>
      </c>
      <c r="P43" s="11"/>
      <c r="Q43" s="10" t="s">
        <v>171</v>
      </c>
      <c r="R43" s="11"/>
      <c r="S43" t="s">
        <v>4</v>
      </c>
      <c r="T43" s="10" t="s">
        <v>155</v>
      </c>
      <c r="U43" s="10" t="s">
        <v>155</v>
      </c>
      <c r="V43" s="10" t="s">
        <v>155</v>
      </c>
      <c r="W43" s="11"/>
      <c r="X43" s="12"/>
      <c r="Y43" s="11"/>
      <c r="Z43" t="s">
        <v>4</v>
      </c>
      <c r="AA43" s="10"/>
      <c r="AB43" s="12"/>
      <c r="AC43" s="12"/>
      <c r="AD43" s="10"/>
      <c r="AE43" s="10"/>
      <c r="AF43" s="11"/>
      <c r="AG43" s="11"/>
      <c r="AH43" t="s">
        <v>4</v>
      </c>
      <c r="AI43" s="10"/>
      <c r="AJ43" s="10"/>
      <c r="AK43" s="10"/>
      <c r="AL43" s="11"/>
      <c r="AM43" s="11"/>
      <c r="AN43" t="s">
        <v>4</v>
      </c>
      <c r="AO43" s="10"/>
      <c r="AP43" s="10"/>
      <c r="AQ43" s="10"/>
      <c r="AR43" s="11"/>
      <c r="AS43" s="11"/>
      <c r="AT43" t="s">
        <v>4</v>
      </c>
      <c r="AU43" s="10"/>
      <c r="AV43" s="10"/>
      <c r="AW43" s="10"/>
      <c r="AX43" s="11"/>
      <c r="AY43" s="11"/>
      <c r="AZ43" t="s">
        <v>4</v>
      </c>
      <c r="BA43" s="10"/>
      <c r="BB43" s="10"/>
      <c r="BC43" s="12"/>
      <c r="BF43">
        <f t="shared" si="0"/>
        <v>6</v>
      </c>
      <c r="BG43">
        <f t="shared" si="1"/>
        <v>0</v>
      </c>
      <c r="BH43">
        <f t="shared" si="2"/>
        <v>0</v>
      </c>
      <c r="BI43">
        <f t="shared" si="3"/>
        <v>2</v>
      </c>
      <c r="BJ43">
        <f t="shared" si="4"/>
        <v>0</v>
      </c>
      <c r="BK43">
        <f t="shared" si="5"/>
        <v>0</v>
      </c>
      <c r="BL43">
        <f t="shared" si="6"/>
        <v>0</v>
      </c>
      <c r="BM43">
        <f t="shared" si="7"/>
        <v>0</v>
      </c>
    </row>
    <row r="44" spans="1:65">
      <c r="A44" t="s">
        <v>44</v>
      </c>
      <c r="C44" s="12"/>
      <c r="D44" s="10"/>
      <c r="E44" s="10"/>
      <c r="F44" s="11"/>
      <c r="G44" s="11"/>
      <c r="H44" t="s">
        <v>4</v>
      </c>
      <c r="I44" s="10" t="s">
        <v>157</v>
      </c>
      <c r="J44" s="10" t="s">
        <v>157</v>
      </c>
      <c r="K44" s="10" t="s">
        <v>157</v>
      </c>
      <c r="L44" s="11" t="s">
        <v>214</v>
      </c>
      <c r="M44" s="11"/>
      <c r="N44" t="s">
        <v>4</v>
      </c>
      <c r="O44" s="10" t="s">
        <v>176</v>
      </c>
      <c r="P44" s="10" t="s">
        <v>176</v>
      </c>
      <c r="Q44" s="11"/>
      <c r="R44" s="10" t="s">
        <v>171</v>
      </c>
      <c r="S44" s="11"/>
      <c r="T44" t="s">
        <v>4</v>
      </c>
      <c r="U44" s="10" t="s">
        <v>157</v>
      </c>
      <c r="V44" s="10" t="s">
        <v>157</v>
      </c>
      <c r="W44" s="10" t="s">
        <v>157</v>
      </c>
      <c r="X44" s="12"/>
      <c r="Y44" s="11"/>
      <c r="Z44" s="11"/>
      <c r="AA44" t="s">
        <v>4</v>
      </c>
      <c r="AB44" s="12"/>
      <c r="AC44" s="12"/>
      <c r="AD44" s="10"/>
      <c r="AE44" s="10"/>
      <c r="AF44" s="10"/>
      <c r="AG44" s="11"/>
      <c r="AH44" s="11"/>
      <c r="AI44" t="s">
        <v>4</v>
      </c>
      <c r="AJ44" s="10"/>
      <c r="AK44" s="10"/>
      <c r="AL44" s="10"/>
      <c r="AM44" s="11"/>
      <c r="AN44" s="11"/>
      <c r="AO44" t="s">
        <v>4</v>
      </c>
      <c r="AP44" s="10"/>
      <c r="AQ44" s="10"/>
      <c r="AR44" s="10"/>
      <c r="AS44" s="11"/>
      <c r="AT44" s="11"/>
      <c r="AU44" t="s">
        <v>4</v>
      </c>
      <c r="AV44" s="10"/>
      <c r="AW44" s="10"/>
      <c r="AX44" s="10"/>
      <c r="AY44" s="11"/>
      <c r="AZ44" s="11"/>
      <c r="BA44" t="s">
        <v>4</v>
      </c>
      <c r="BB44" s="10"/>
      <c r="BC44" s="12"/>
      <c r="BF44">
        <f t="shared" si="0"/>
        <v>6</v>
      </c>
      <c r="BG44">
        <f t="shared" si="1"/>
        <v>0</v>
      </c>
      <c r="BH44">
        <f t="shared" si="2"/>
        <v>0</v>
      </c>
      <c r="BI44">
        <f t="shared" si="3"/>
        <v>2</v>
      </c>
      <c r="BJ44">
        <f t="shared" si="4"/>
        <v>0</v>
      </c>
      <c r="BK44">
        <f t="shared" si="5"/>
        <v>0</v>
      </c>
      <c r="BL44">
        <f t="shared" si="6"/>
        <v>0</v>
      </c>
      <c r="BM44">
        <f t="shared" si="7"/>
        <v>0</v>
      </c>
    </row>
    <row r="45" spans="1:65">
      <c r="A45" t="s">
        <v>45</v>
      </c>
      <c r="C45" s="12"/>
      <c r="D45" s="10" t="s">
        <v>168</v>
      </c>
      <c r="E45" s="11"/>
      <c r="F45" s="10" t="s">
        <v>168</v>
      </c>
      <c r="G45" s="11"/>
      <c r="H45" s="10" t="s">
        <v>168</v>
      </c>
      <c r="I45" t="s">
        <v>4</v>
      </c>
      <c r="J45" s="10" t="s">
        <v>156</v>
      </c>
      <c r="K45" s="10" t="s">
        <v>156</v>
      </c>
      <c r="L45" s="10" t="s">
        <v>156</v>
      </c>
      <c r="M45" s="11"/>
      <c r="N45" s="11"/>
      <c r="O45" t="s">
        <v>4</v>
      </c>
      <c r="P45" s="10" t="s">
        <v>175</v>
      </c>
      <c r="Q45" s="10" t="s">
        <v>175</v>
      </c>
      <c r="R45" s="11"/>
      <c r="S45" s="10" t="s">
        <v>171</v>
      </c>
      <c r="T45" s="11"/>
      <c r="U45" t="s">
        <v>4</v>
      </c>
      <c r="V45" s="10"/>
      <c r="W45" s="10"/>
      <c r="X45" s="12"/>
      <c r="Y45" s="10"/>
      <c r="Z45" s="11"/>
      <c r="AA45" s="11"/>
      <c r="AB45" s="12"/>
      <c r="AC45" s="12"/>
      <c r="AD45" t="s">
        <v>4</v>
      </c>
      <c r="AE45" s="10"/>
      <c r="AF45" s="10"/>
      <c r="AG45" s="10"/>
      <c r="AH45" s="11"/>
      <c r="AI45" s="11"/>
      <c r="AJ45" t="s">
        <v>4</v>
      </c>
      <c r="AK45" s="10"/>
      <c r="AL45" s="10"/>
      <c r="AM45" s="10"/>
      <c r="AN45" s="11"/>
      <c r="AO45" s="11"/>
      <c r="AP45" t="s">
        <v>4</v>
      </c>
      <c r="AQ45" s="10"/>
      <c r="AR45" s="10"/>
      <c r="AS45" s="10"/>
      <c r="AT45" s="11"/>
      <c r="AU45" s="11"/>
      <c r="AV45" t="s">
        <v>4</v>
      </c>
      <c r="AW45" s="10"/>
      <c r="AX45" s="10"/>
      <c r="AY45" s="10"/>
      <c r="AZ45" s="11"/>
      <c r="BA45" s="11"/>
      <c r="BB45" t="s">
        <v>4</v>
      </c>
      <c r="BC45" s="12"/>
      <c r="BF45">
        <f t="shared" si="0"/>
        <v>3</v>
      </c>
      <c r="BG45">
        <f t="shared" si="1"/>
        <v>0</v>
      </c>
      <c r="BH45">
        <f t="shared" si="2"/>
        <v>0</v>
      </c>
      <c r="BI45">
        <f t="shared" si="3"/>
        <v>2</v>
      </c>
      <c r="BJ45">
        <f t="shared" si="4"/>
        <v>0</v>
      </c>
      <c r="BK45">
        <f t="shared" si="5"/>
        <v>3</v>
      </c>
      <c r="BL45">
        <f t="shared" si="6"/>
        <v>0</v>
      </c>
      <c r="BM45">
        <f t="shared" si="7"/>
        <v>0</v>
      </c>
    </row>
    <row r="46" spans="1:65">
      <c r="A46" t="s">
        <v>46</v>
      </c>
      <c r="C46" s="12"/>
      <c r="D46" t="s">
        <v>4</v>
      </c>
      <c r="E46" s="10" t="s">
        <v>160</v>
      </c>
      <c r="F46" s="10" t="s">
        <v>160</v>
      </c>
      <c r="G46" s="10" t="s">
        <v>160</v>
      </c>
      <c r="H46" s="11"/>
      <c r="I46" s="11"/>
      <c r="J46" t="s">
        <v>4</v>
      </c>
      <c r="K46" s="10" t="s">
        <v>155</v>
      </c>
      <c r="L46" s="10" t="s">
        <v>155</v>
      </c>
      <c r="M46" s="10" t="s">
        <v>155</v>
      </c>
      <c r="N46" s="11"/>
      <c r="O46" s="11"/>
      <c r="P46" t="s">
        <v>4</v>
      </c>
      <c r="Q46" s="10" t="s">
        <v>176</v>
      </c>
      <c r="R46" s="10" t="s">
        <v>176</v>
      </c>
      <c r="S46" s="11"/>
      <c r="T46" s="10" t="s">
        <v>171</v>
      </c>
      <c r="U46" s="11"/>
      <c r="V46" t="s">
        <v>4</v>
      </c>
      <c r="W46" s="10"/>
      <c r="X46" s="12"/>
      <c r="Y46" s="10"/>
      <c r="Z46" s="10"/>
      <c r="AA46" s="11"/>
      <c r="AB46" s="12"/>
      <c r="AC46" s="12"/>
      <c r="AD46" s="11"/>
      <c r="AE46" t="s">
        <v>4</v>
      </c>
      <c r="AF46" s="10"/>
      <c r="AG46" s="10"/>
      <c r="AH46" s="10"/>
      <c r="AI46" s="11"/>
      <c r="AJ46" s="11"/>
      <c r="AK46" t="s">
        <v>4</v>
      </c>
      <c r="AL46" s="10"/>
      <c r="AM46" s="10"/>
      <c r="AN46" s="10"/>
      <c r="AO46" s="11"/>
      <c r="AP46" s="11"/>
      <c r="AQ46" t="s">
        <v>4</v>
      </c>
      <c r="AR46" s="10"/>
      <c r="AS46" s="10"/>
      <c r="AT46" s="10"/>
      <c r="AU46" s="11"/>
      <c r="AV46" s="11"/>
      <c r="AW46" t="s">
        <v>4</v>
      </c>
      <c r="AX46" s="10"/>
      <c r="AY46" s="10"/>
      <c r="AZ46" s="10"/>
      <c r="BA46" s="11"/>
      <c r="BB46" s="11"/>
      <c r="BC46" s="12"/>
      <c r="BF46">
        <f t="shared" si="0"/>
        <v>3</v>
      </c>
      <c r="BG46">
        <f t="shared" si="1"/>
        <v>3</v>
      </c>
      <c r="BH46">
        <f t="shared" si="2"/>
        <v>0</v>
      </c>
      <c r="BI46">
        <f t="shared" si="3"/>
        <v>2</v>
      </c>
      <c r="BJ46">
        <f t="shared" si="4"/>
        <v>0</v>
      </c>
      <c r="BK46">
        <f t="shared" si="5"/>
        <v>0</v>
      </c>
      <c r="BL46">
        <f t="shared" si="6"/>
        <v>0</v>
      </c>
      <c r="BM46">
        <f t="shared" si="7"/>
        <v>0</v>
      </c>
    </row>
    <row r="47" spans="1:65">
      <c r="A47" t="s">
        <v>47</v>
      </c>
      <c r="C47" s="12"/>
      <c r="D47" s="11"/>
      <c r="E47" t="s">
        <v>4</v>
      </c>
      <c r="F47" s="10" t="s">
        <v>166</v>
      </c>
      <c r="G47" s="11"/>
      <c r="H47" s="10" t="s">
        <v>166</v>
      </c>
      <c r="I47" s="11"/>
      <c r="J47" s="10" t="s">
        <v>166</v>
      </c>
      <c r="K47" t="s">
        <v>4</v>
      </c>
      <c r="L47" s="10" t="s">
        <v>157</v>
      </c>
      <c r="M47" s="10" t="s">
        <v>157</v>
      </c>
      <c r="N47" s="10" t="s">
        <v>157</v>
      </c>
      <c r="O47" s="11"/>
      <c r="P47" s="11"/>
      <c r="Q47" t="s">
        <v>4</v>
      </c>
      <c r="R47" s="10" t="s">
        <v>175</v>
      </c>
      <c r="S47" s="10" t="s">
        <v>175</v>
      </c>
      <c r="T47" s="11"/>
      <c r="U47" s="10" t="s">
        <v>171</v>
      </c>
      <c r="V47" s="11"/>
      <c r="W47" t="s">
        <v>4</v>
      </c>
      <c r="X47" s="12"/>
      <c r="Y47" s="10"/>
      <c r="Z47" s="10"/>
      <c r="AA47" s="10"/>
      <c r="AB47" s="12"/>
      <c r="AC47" s="12"/>
      <c r="AD47" s="11"/>
      <c r="AE47" s="11"/>
      <c r="AF47" t="s">
        <v>4</v>
      </c>
      <c r="AG47" s="10"/>
      <c r="AH47" s="10"/>
      <c r="AI47" s="10"/>
      <c r="AJ47" s="11"/>
      <c r="AK47" s="11"/>
      <c r="AL47" t="s">
        <v>4</v>
      </c>
      <c r="AM47" s="10"/>
      <c r="AN47" s="10"/>
      <c r="AO47" s="10"/>
      <c r="AP47" s="11"/>
      <c r="AQ47" s="11"/>
      <c r="AR47" t="s">
        <v>4</v>
      </c>
      <c r="AS47" s="10"/>
      <c r="AT47" s="10"/>
      <c r="AU47" s="10"/>
      <c r="AV47" s="11"/>
      <c r="AW47" s="11"/>
      <c r="AX47" t="s">
        <v>4</v>
      </c>
      <c r="AY47" s="10"/>
      <c r="AZ47" s="10"/>
      <c r="BA47" s="10"/>
      <c r="BB47" s="11"/>
      <c r="BC47" s="12"/>
      <c r="BF47">
        <f t="shared" si="0"/>
        <v>3</v>
      </c>
      <c r="BG47">
        <f t="shared" si="1"/>
        <v>0</v>
      </c>
      <c r="BH47">
        <f t="shared" si="2"/>
        <v>3</v>
      </c>
      <c r="BI47">
        <f t="shared" si="3"/>
        <v>2</v>
      </c>
      <c r="BJ47">
        <f t="shared" si="4"/>
        <v>0</v>
      </c>
      <c r="BK47">
        <f t="shared" si="5"/>
        <v>0</v>
      </c>
      <c r="BL47">
        <f t="shared" si="6"/>
        <v>0</v>
      </c>
      <c r="BM47">
        <f t="shared" si="7"/>
        <v>0</v>
      </c>
    </row>
    <row r="48" spans="1:65">
      <c r="A48" t="s">
        <v>48</v>
      </c>
      <c r="C48" s="12"/>
      <c r="D48" s="11"/>
      <c r="E48" s="11"/>
      <c r="F48" t="s">
        <v>4</v>
      </c>
      <c r="G48" s="10" t="s">
        <v>166</v>
      </c>
      <c r="H48" s="11"/>
      <c r="I48" s="10" t="s">
        <v>166</v>
      </c>
      <c r="J48" s="11"/>
      <c r="K48" s="10" t="s">
        <v>166</v>
      </c>
      <c r="L48" t="s">
        <v>4</v>
      </c>
      <c r="M48" s="10" t="s">
        <v>156</v>
      </c>
      <c r="N48" s="10" t="s">
        <v>156</v>
      </c>
      <c r="O48" s="10" t="s">
        <v>156</v>
      </c>
      <c r="P48" s="11"/>
      <c r="Q48" s="11"/>
      <c r="R48" t="s">
        <v>4</v>
      </c>
      <c r="S48" s="10" t="s">
        <v>176</v>
      </c>
      <c r="T48" s="10" t="s">
        <v>176</v>
      </c>
      <c r="U48" s="11"/>
      <c r="V48" s="10" t="s">
        <v>171</v>
      </c>
      <c r="W48" s="11"/>
      <c r="X48" s="12"/>
      <c r="Y48" t="s">
        <v>4</v>
      </c>
      <c r="Z48" s="10"/>
      <c r="AA48" s="10"/>
      <c r="AB48" s="12"/>
      <c r="AC48" s="12"/>
      <c r="AD48" s="10"/>
      <c r="AE48" s="11"/>
      <c r="AF48" s="11"/>
      <c r="AG48" t="s">
        <v>4</v>
      </c>
      <c r="AH48" s="10"/>
      <c r="AI48" s="10"/>
      <c r="AJ48" s="10"/>
      <c r="AK48" s="11"/>
      <c r="AL48" s="11"/>
      <c r="AM48" t="s">
        <v>4</v>
      </c>
      <c r="AN48" s="10"/>
      <c r="AO48" s="10"/>
      <c r="AP48" s="10"/>
      <c r="AQ48" s="11"/>
      <c r="AR48" s="11"/>
      <c r="AS48" t="s">
        <v>4</v>
      </c>
      <c r="AT48" s="10"/>
      <c r="AU48" s="10"/>
      <c r="AV48" s="10"/>
      <c r="AW48" s="11"/>
      <c r="AX48" s="11"/>
      <c r="AY48" t="s">
        <v>4</v>
      </c>
      <c r="AZ48" s="10"/>
      <c r="BA48" s="10"/>
      <c r="BB48" s="10"/>
      <c r="BC48" s="12"/>
      <c r="BF48">
        <f t="shared" si="0"/>
        <v>3</v>
      </c>
      <c r="BG48">
        <f t="shared" si="1"/>
        <v>0</v>
      </c>
      <c r="BH48">
        <f t="shared" si="2"/>
        <v>3</v>
      </c>
      <c r="BI48">
        <f t="shared" si="3"/>
        <v>2</v>
      </c>
      <c r="BJ48">
        <f t="shared" si="4"/>
        <v>0</v>
      </c>
      <c r="BK48">
        <f t="shared" si="5"/>
        <v>0</v>
      </c>
      <c r="BL48">
        <f t="shared" si="6"/>
        <v>0</v>
      </c>
      <c r="BM48">
        <f t="shared" si="7"/>
        <v>0</v>
      </c>
    </row>
    <row r="49" spans="1:66">
      <c r="A49" t="s">
        <v>49</v>
      </c>
      <c r="C49" s="12"/>
      <c r="D49" s="10"/>
      <c r="E49" s="11"/>
      <c r="F49" s="11"/>
      <c r="G49" t="s">
        <v>4</v>
      </c>
      <c r="H49" s="10" t="s">
        <v>160</v>
      </c>
      <c r="I49" s="10" t="s">
        <v>160</v>
      </c>
      <c r="J49" s="10" t="s">
        <v>160</v>
      </c>
      <c r="K49" s="11"/>
      <c r="L49" s="11" t="s">
        <v>214</v>
      </c>
      <c r="M49" t="s">
        <v>4</v>
      </c>
      <c r="N49" s="10" t="s">
        <v>155</v>
      </c>
      <c r="O49" s="10" t="s">
        <v>155</v>
      </c>
      <c r="P49" s="10" t="s">
        <v>155</v>
      </c>
      <c r="Q49" s="11"/>
      <c r="R49" s="11"/>
      <c r="S49" t="s">
        <v>4</v>
      </c>
      <c r="T49" s="10" t="s">
        <v>175</v>
      </c>
      <c r="U49" s="10" t="s">
        <v>175</v>
      </c>
      <c r="V49" s="11"/>
      <c r="W49" s="10" t="s">
        <v>171</v>
      </c>
      <c r="X49" s="12"/>
      <c r="Y49" s="11"/>
      <c r="Z49" t="s">
        <v>4</v>
      </c>
      <c r="AA49" s="10"/>
      <c r="AB49" s="12"/>
      <c r="AC49" s="12"/>
      <c r="AD49" s="10"/>
      <c r="AE49" s="10"/>
      <c r="AF49" s="11"/>
      <c r="AG49" s="11"/>
      <c r="AH49" t="s">
        <v>4</v>
      </c>
      <c r="AI49" s="10"/>
      <c r="AJ49" s="10"/>
      <c r="AK49" s="10"/>
      <c r="AL49" s="11"/>
      <c r="AM49" s="11"/>
      <c r="AN49" t="s">
        <v>4</v>
      </c>
      <c r="AO49" s="10"/>
      <c r="AP49" s="10"/>
      <c r="AQ49" s="10"/>
      <c r="AR49" s="11"/>
      <c r="AS49" s="11"/>
      <c r="AT49" t="s">
        <v>4</v>
      </c>
      <c r="AU49" s="10"/>
      <c r="AV49" s="10"/>
      <c r="AW49" s="10"/>
      <c r="AX49" s="11"/>
      <c r="AY49" s="11"/>
      <c r="AZ49" t="s">
        <v>4</v>
      </c>
      <c r="BA49" s="10"/>
      <c r="BB49" s="10"/>
      <c r="BC49" s="12"/>
      <c r="BF49">
        <f t="shared" si="0"/>
        <v>3</v>
      </c>
      <c r="BG49">
        <f t="shared" si="1"/>
        <v>3</v>
      </c>
      <c r="BH49">
        <f t="shared" si="2"/>
        <v>0</v>
      </c>
      <c r="BI49">
        <f t="shared" si="3"/>
        <v>2</v>
      </c>
      <c r="BJ49">
        <f t="shared" si="4"/>
        <v>0</v>
      </c>
      <c r="BK49">
        <f t="shared" si="5"/>
        <v>0</v>
      </c>
      <c r="BL49">
        <f t="shared" si="6"/>
        <v>0</v>
      </c>
      <c r="BM49">
        <f t="shared" si="7"/>
        <v>0</v>
      </c>
    </row>
    <row r="50" spans="1:66">
      <c r="A50" t="s">
        <v>50</v>
      </c>
      <c r="C50" s="12"/>
      <c r="D50" s="10"/>
      <c r="E50" s="10"/>
      <c r="F50" s="11"/>
      <c r="G50" s="11"/>
      <c r="H50" t="s">
        <v>4</v>
      </c>
      <c r="I50" s="10"/>
      <c r="J50" s="10"/>
      <c r="K50" s="10"/>
      <c r="L50" s="11" t="s">
        <v>214</v>
      </c>
      <c r="M50" s="11"/>
      <c r="N50" t="s">
        <v>4</v>
      </c>
      <c r="O50" s="10" t="s">
        <v>157</v>
      </c>
      <c r="P50" s="10" t="s">
        <v>157</v>
      </c>
      <c r="Q50" s="10" t="s">
        <v>157</v>
      </c>
      <c r="R50" s="11"/>
      <c r="S50" s="11"/>
      <c r="T50" t="s">
        <v>4</v>
      </c>
      <c r="U50" s="10" t="s">
        <v>176</v>
      </c>
      <c r="V50" s="10" t="s">
        <v>176</v>
      </c>
      <c r="W50" s="11"/>
      <c r="X50" s="12"/>
      <c r="Y50" s="10" t="s">
        <v>171</v>
      </c>
      <c r="Z50" s="11"/>
      <c r="AA50" t="s">
        <v>4</v>
      </c>
      <c r="AB50" s="12"/>
      <c r="AC50" s="12"/>
      <c r="AD50" s="10"/>
      <c r="AE50" s="10"/>
      <c r="AF50" s="10"/>
      <c r="AG50" s="11"/>
      <c r="AH50" s="11"/>
      <c r="AI50" t="s">
        <v>4</v>
      </c>
      <c r="AJ50" s="10"/>
      <c r="AK50" s="10"/>
      <c r="AL50" s="10"/>
      <c r="AM50" s="11"/>
      <c r="AN50" s="11"/>
      <c r="AO50" t="s">
        <v>4</v>
      </c>
      <c r="AP50" s="10"/>
      <c r="AQ50" s="10"/>
      <c r="AR50" s="10"/>
      <c r="AS50" s="11"/>
      <c r="AT50" s="11"/>
      <c r="AU50" t="s">
        <v>4</v>
      </c>
      <c r="AV50" s="10"/>
      <c r="AW50" s="10"/>
      <c r="AX50" s="10"/>
      <c r="AY50" s="11"/>
      <c r="AZ50" s="11"/>
      <c r="BA50" t="s">
        <v>4</v>
      </c>
      <c r="BB50" s="10"/>
      <c r="BC50" s="12"/>
      <c r="BF50">
        <f t="shared" si="0"/>
        <v>3</v>
      </c>
      <c r="BG50">
        <f t="shared" si="1"/>
        <v>0</v>
      </c>
      <c r="BH50">
        <f t="shared" si="2"/>
        <v>0</v>
      </c>
      <c r="BI50">
        <f t="shared" si="3"/>
        <v>2</v>
      </c>
      <c r="BJ50">
        <f t="shared" si="4"/>
        <v>0</v>
      </c>
      <c r="BK50">
        <f t="shared" si="5"/>
        <v>0</v>
      </c>
      <c r="BL50">
        <f t="shared" si="6"/>
        <v>0</v>
      </c>
      <c r="BM50">
        <f t="shared" si="7"/>
        <v>0</v>
      </c>
    </row>
    <row r="51" spans="1:66">
      <c r="A51" t="s">
        <v>51</v>
      </c>
      <c r="C51" s="12"/>
      <c r="D51" s="10" t="s">
        <v>163</v>
      </c>
      <c r="E51" s="10" t="s">
        <v>163</v>
      </c>
      <c r="F51" s="10" t="s">
        <v>163</v>
      </c>
      <c r="G51" s="11"/>
      <c r="H51" s="11"/>
      <c r="I51" t="s">
        <v>4</v>
      </c>
      <c r="J51" s="10" t="s">
        <v>170</v>
      </c>
      <c r="K51" s="11"/>
      <c r="L51" s="10" t="s">
        <v>170</v>
      </c>
      <c r="M51" s="11"/>
      <c r="N51" s="10" t="s">
        <v>170</v>
      </c>
      <c r="O51" t="s">
        <v>4</v>
      </c>
      <c r="P51" s="10" t="s">
        <v>156</v>
      </c>
      <c r="Q51" s="10" t="s">
        <v>156</v>
      </c>
      <c r="R51" s="10" t="s">
        <v>156</v>
      </c>
      <c r="S51" s="11"/>
      <c r="T51" s="11"/>
      <c r="U51" t="s">
        <v>4</v>
      </c>
      <c r="V51" s="10" t="s">
        <v>156</v>
      </c>
      <c r="W51" s="10" t="s">
        <v>156</v>
      </c>
      <c r="X51" s="12"/>
      <c r="Y51" s="10"/>
      <c r="Z51" s="11"/>
      <c r="AA51" s="11"/>
      <c r="AB51" s="12"/>
      <c r="AC51" s="12"/>
      <c r="AD51" t="s">
        <v>4</v>
      </c>
      <c r="AE51" s="10"/>
      <c r="AF51" s="10"/>
      <c r="AG51" s="10"/>
      <c r="AH51" s="11"/>
      <c r="AI51" s="11"/>
      <c r="AJ51" t="s">
        <v>4</v>
      </c>
      <c r="AK51" s="10"/>
      <c r="AL51" s="10"/>
      <c r="AM51" s="10"/>
      <c r="AN51" s="11"/>
      <c r="AO51" s="11"/>
      <c r="AP51" t="s">
        <v>4</v>
      </c>
      <c r="AQ51" s="10"/>
      <c r="AR51" s="10"/>
      <c r="AS51" s="10"/>
      <c r="AT51" s="11"/>
      <c r="AU51" s="11"/>
      <c r="AV51" t="s">
        <v>4</v>
      </c>
      <c r="AW51" s="10"/>
      <c r="AX51" s="10"/>
      <c r="AY51" s="10"/>
      <c r="AZ51" s="11"/>
      <c r="BA51" s="11"/>
      <c r="BB51" t="s">
        <v>4</v>
      </c>
      <c r="BC51" s="12"/>
      <c r="BF51">
        <f t="shared" si="0"/>
        <v>5</v>
      </c>
      <c r="BG51">
        <f t="shared" si="1"/>
        <v>3</v>
      </c>
      <c r="BH51">
        <f t="shared" si="2"/>
        <v>0</v>
      </c>
      <c r="BI51">
        <f t="shared" si="3"/>
        <v>0</v>
      </c>
      <c r="BJ51">
        <f t="shared" si="4"/>
        <v>3</v>
      </c>
      <c r="BK51">
        <f t="shared" si="5"/>
        <v>0</v>
      </c>
      <c r="BL51">
        <f t="shared" si="6"/>
        <v>0</v>
      </c>
      <c r="BM51">
        <f t="shared" si="7"/>
        <v>0</v>
      </c>
    </row>
    <row r="52" spans="1:66">
      <c r="A52" t="s">
        <v>52</v>
      </c>
      <c r="C52" s="12"/>
      <c r="D52" t="s">
        <v>4</v>
      </c>
      <c r="E52" s="10" t="s">
        <v>168</v>
      </c>
      <c r="F52" s="11"/>
      <c r="G52" s="10" t="s">
        <v>168</v>
      </c>
      <c r="H52" s="11"/>
      <c r="I52" s="10" t="s">
        <v>168</v>
      </c>
      <c r="J52" t="s">
        <v>4</v>
      </c>
      <c r="K52" s="10" t="s">
        <v>160</v>
      </c>
      <c r="L52" s="10" t="s">
        <v>160</v>
      </c>
      <c r="M52" s="10" t="s">
        <v>160</v>
      </c>
      <c r="N52" s="11"/>
      <c r="O52" s="11"/>
      <c r="P52" t="s">
        <v>4</v>
      </c>
      <c r="Q52" s="10" t="s">
        <v>168</v>
      </c>
      <c r="R52" s="11"/>
      <c r="S52" s="10" t="s">
        <v>168</v>
      </c>
      <c r="T52" s="11"/>
      <c r="U52" s="10" t="s">
        <v>168</v>
      </c>
      <c r="V52" t="s">
        <v>4</v>
      </c>
      <c r="W52" s="10"/>
      <c r="X52" s="12"/>
      <c r="Y52" s="10"/>
      <c r="Z52" s="10"/>
      <c r="AA52" s="11"/>
      <c r="AB52" s="12"/>
      <c r="AC52" s="12"/>
      <c r="AD52" s="11"/>
      <c r="AE52" t="s">
        <v>4</v>
      </c>
      <c r="AF52" s="10"/>
      <c r="AG52" s="10"/>
      <c r="AH52" s="10"/>
      <c r="AI52" s="11"/>
      <c r="AJ52" s="11"/>
      <c r="AK52" t="s">
        <v>4</v>
      </c>
      <c r="AL52" s="10"/>
      <c r="AM52" s="10"/>
      <c r="AN52" s="10"/>
      <c r="AO52" s="11"/>
      <c r="AP52" s="11"/>
      <c r="AQ52" t="s">
        <v>4</v>
      </c>
      <c r="AR52" s="10"/>
      <c r="AS52" s="10"/>
      <c r="AT52" s="10"/>
      <c r="AU52" s="11"/>
      <c r="AV52" s="11"/>
      <c r="AW52" t="s">
        <v>4</v>
      </c>
      <c r="AX52" s="10"/>
      <c r="AY52" s="10"/>
      <c r="AZ52" s="10"/>
      <c r="BA52" s="11"/>
      <c r="BB52" s="11"/>
      <c r="BC52" s="12"/>
      <c r="BF52">
        <f t="shared" si="0"/>
        <v>0</v>
      </c>
      <c r="BG52">
        <f t="shared" si="1"/>
        <v>3</v>
      </c>
      <c r="BH52">
        <f t="shared" si="2"/>
        <v>0</v>
      </c>
      <c r="BI52">
        <f t="shared" si="3"/>
        <v>0</v>
      </c>
      <c r="BJ52">
        <f t="shared" si="4"/>
        <v>0</v>
      </c>
      <c r="BK52">
        <f t="shared" si="5"/>
        <v>6</v>
      </c>
      <c r="BL52">
        <f t="shared" si="6"/>
        <v>0</v>
      </c>
      <c r="BM52">
        <f t="shared" si="7"/>
        <v>0</v>
      </c>
    </row>
    <row r="53" spans="1:66">
      <c r="A53" t="s">
        <v>53</v>
      </c>
      <c r="C53" s="12"/>
      <c r="D53" s="11"/>
      <c r="E53" t="s">
        <v>4</v>
      </c>
      <c r="F53" s="10" t="s">
        <v>162</v>
      </c>
      <c r="G53" s="10" t="s">
        <v>162</v>
      </c>
      <c r="H53" s="10" t="s">
        <v>162</v>
      </c>
      <c r="I53" s="11"/>
      <c r="J53" s="11"/>
      <c r="K53" t="s">
        <v>4</v>
      </c>
      <c r="L53" s="10" t="s">
        <v>166</v>
      </c>
      <c r="M53" s="11"/>
      <c r="N53" s="10" t="s">
        <v>166</v>
      </c>
      <c r="O53" s="11"/>
      <c r="P53" s="10" t="s">
        <v>166</v>
      </c>
      <c r="Q53" t="s">
        <v>4</v>
      </c>
      <c r="R53" s="10" t="s">
        <v>162</v>
      </c>
      <c r="S53" s="10" t="s">
        <v>162</v>
      </c>
      <c r="T53" s="10" t="s">
        <v>162</v>
      </c>
      <c r="U53" s="11"/>
      <c r="V53" s="11"/>
      <c r="W53" t="s">
        <v>4</v>
      </c>
      <c r="X53" s="12"/>
      <c r="Y53" s="10"/>
      <c r="Z53" s="10"/>
      <c r="AA53" s="10"/>
      <c r="AB53" s="12"/>
      <c r="AC53" s="12"/>
      <c r="AD53" s="11"/>
      <c r="AE53" s="11"/>
      <c r="AF53" t="s">
        <v>4</v>
      </c>
      <c r="AG53" s="10"/>
      <c r="AH53" s="10"/>
      <c r="AI53" s="10"/>
      <c r="AJ53" s="11"/>
      <c r="AK53" s="11"/>
      <c r="AL53" t="s">
        <v>4</v>
      </c>
      <c r="AM53" s="10"/>
      <c r="AN53" s="10"/>
      <c r="AO53" s="10"/>
      <c r="AP53" s="11"/>
      <c r="AQ53" s="11"/>
      <c r="AR53" t="s">
        <v>4</v>
      </c>
      <c r="AS53" s="10"/>
      <c r="AT53" s="10"/>
      <c r="AU53" s="10"/>
      <c r="AV53" s="11"/>
      <c r="AW53" s="11"/>
      <c r="AX53" t="s">
        <v>4</v>
      </c>
      <c r="AY53" s="10"/>
      <c r="AZ53" s="10"/>
      <c r="BA53" s="10"/>
      <c r="BB53" s="11"/>
      <c r="BC53" s="12"/>
      <c r="BF53">
        <f t="shared" si="0"/>
        <v>0</v>
      </c>
      <c r="BG53">
        <f t="shared" si="1"/>
        <v>6</v>
      </c>
      <c r="BH53">
        <f t="shared" si="2"/>
        <v>3</v>
      </c>
      <c r="BI53">
        <f t="shared" si="3"/>
        <v>0</v>
      </c>
      <c r="BJ53">
        <f t="shared" si="4"/>
        <v>0</v>
      </c>
      <c r="BK53">
        <f t="shared" si="5"/>
        <v>0</v>
      </c>
      <c r="BL53">
        <f t="shared" si="6"/>
        <v>0</v>
      </c>
      <c r="BM53">
        <f t="shared" si="7"/>
        <v>0</v>
      </c>
    </row>
    <row r="54" spans="1:66">
      <c r="A54" t="s">
        <v>54</v>
      </c>
      <c r="C54" s="12"/>
      <c r="D54" s="11"/>
      <c r="E54" s="11"/>
      <c r="F54" t="s">
        <v>4</v>
      </c>
      <c r="G54" s="10" t="s">
        <v>163</v>
      </c>
      <c r="H54" s="10" t="s">
        <v>163</v>
      </c>
      <c r="I54" s="10" t="s">
        <v>163</v>
      </c>
      <c r="J54" s="11"/>
      <c r="K54" s="11"/>
      <c r="L54" t="s">
        <v>4</v>
      </c>
      <c r="M54" s="10" t="s">
        <v>163</v>
      </c>
      <c r="N54" s="10" t="s">
        <v>163</v>
      </c>
      <c r="O54" s="10" t="s">
        <v>163</v>
      </c>
      <c r="P54" s="11"/>
      <c r="Q54" s="11"/>
      <c r="R54" t="s">
        <v>4</v>
      </c>
      <c r="S54" s="10"/>
      <c r="T54" s="10" t="s">
        <v>177</v>
      </c>
      <c r="U54" s="10" t="s">
        <v>177</v>
      </c>
      <c r="V54" s="11"/>
      <c r="W54" s="11"/>
      <c r="X54" s="12"/>
      <c r="Y54" t="s">
        <v>4</v>
      </c>
      <c r="Z54" s="10"/>
      <c r="AA54" s="10"/>
      <c r="AB54" s="12"/>
      <c r="AC54" s="12"/>
      <c r="AD54" s="10"/>
      <c r="AE54" s="11"/>
      <c r="AF54" s="11"/>
      <c r="AG54" t="s">
        <v>4</v>
      </c>
      <c r="AH54" s="10"/>
      <c r="AI54" s="10"/>
      <c r="AJ54" s="10"/>
      <c r="AK54" s="11"/>
      <c r="AL54" s="11"/>
      <c r="AM54" t="s">
        <v>4</v>
      </c>
      <c r="AN54" s="10"/>
      <c r="AO54" s="10"/>
      <c r="AP54" s="10"/>
      <c r="AQ54" s="11"/>
      <c r="AR54" s="11"/>
      <c r="AS54" t="s">
        <v>4</v>
      </c>
      <c r="AT54" s="10"/>
      <c r="AU54" s="10"/>
      <c r="AV54" s="10"/>
      <c r="AW54" s="11"/>
      <c r="AX54" s="11"/>
      <c r="AY54" t="s">
        <v>4</v>
      </c>
      <c r="AZ54" s="10"/>
      <c r="BA54" s="10"/>
      <c r="BB54" s="10"/>
      <c r="BC54" s="12"/>
      <c r="BF54">
        <f t="shared" si="0"/>
        <v>0</v>
      </c>
      <c r="BG54">
        <f t="shared" si="1"/>
        <v>6</v>
      </c>
      <c r="BH54">
        <f t="shared" si="2"/>
        <v>0</v>
      </c>
      <c r="BI54">
        <f t="shared" si="3"/>
        <v>2</v>
      </c>
      <c r="BJ54">
        <f t="shared" si="4"/>
        <v>0</v>
      </c>
      <c r="BK54">
        <f t="shared" si="5"/>
        <v>0</v>
      </c>
      <c r="BL54">
        <f t="shared" si="6"/>
        <v>0</v>
      </c>
      <c r="BM54">
        <f t="shared" si="7"/>
        <v>0</v>
      </c>
    </row>
    <row r="55" spans="1:66">
      <c r="A55" t="s">
        <v>55</v>
      </c>
      <c r="C55" s="12"/>
      <c r="D55" s="10"/>
      <c r="E55" s="11"/>
      <c r="F55" s="11"/>
      <c r="G55" t="s">
        <v>4</v>
      </c>
      <c r="H55" s="10"/>
      <c r="I55" s="10"/>
      <c r="J55" s="10"/>
      <c r="K55" s="11"/>
      <c r="L55" s="11" t="s">
        <v>214</v>
      </c>
      <c r="M55" t="s">
        <v>4</v>
      </c>
      <c r="N55" s="10" t="s">
        <v>160</v>
      </c>
      <c r="O55" s="10" t="s">
        <v>160</v>
      </c>
      <c r="P55" s="10" t="s">
        <v>160</v>
      </c>
      <c r="Q55" s="11"/>
      <c r="R55" s="11"/>
      <c r="S55" t="s">
        <v>4</v>
      </c>
      <c r="T55" s="10"/>
      <c r="U55" s="10"/>
      <c r="V55" s="10"/>
      <c r="W55" s="11"/>
      <c r="X55" s="12"/>
      <c r="Y55" s="11"/>
      <c r="Z55" t="s">
        <v>4</v>
      </c>
      <c r="AA55" s="10"/>
      <c r="AB55" s="12"/>
      <c r="AC55" s="12"/>
      <c r="AD55" s="10"/>
      <c r="AE55" s="10"/>
      <c r="AF55" s="11"/>
      <c r="AG55" s="11"/>
      <c r="AH55" t="s">
        <v>4</v>
      </c>
      <c r="AI55" s="10"/>
      <c r="AJ55" s="10"/>
      <c r="AK55" s="10"/>
      <c r="AL55" s="11"/>
      <c r="AM55" s="11"/>
      <c r="AN55" t="s">
        <v>4</v>
      </c>
      <c r="AO55" s="10"/>
      <c r="AP55" s="10"/>
      <c r="AQ55" s="10"/>
      <c r="AR55" s="11"/>
      <c r="AS55" s="11"/>
      <c r="AT55" t="s">
        <v>4</v>
      </c>
      <c r="AU55" s="10"/>
      <c r="AV55" s="10"/>
      <c r="AW55" s="10"/>
      <c r="AX55" s="11"/>
      <c r="AY55" s="11"/>
      <c r="AZ55" t="s">
        <v>4</v>
      </c>
      <c r="BA55" s="10"/>
      <c r="BB55" s="10"/>
      <c r="BC55" s="12"/>
      <c r="BF55">
        <f t="shared" si="0"/>
        <v>0</v>
      </c>
      <c r="BG55">
        <f t="shared" si="1"/>
        <v>3</v>
      </c>
      <c r="BH55">
        <f t="shared" si="2"/>
        <v>0</v>
      </c>
      <c r="BI55">
        <f t="shared" si="3"/>
        <v>0</v>
      </c>
      <c r="BJ55">
        <f t="shared" si="4"/>
        <v>0</v>
      </c>
      <c r="BK55">
        <f t="shared" si="5"/>
        <v>0</v>
      </c>
      <c r="BL55">
        <f t="shared" si="6"/>
        <v>0</v>
      </c>
      <c r="BM55">
        <f t="shared" si="7"/>
        <v>0</v>
      </c>
    </row>
    <row r="56" spans="1:66">
      <c r="A56" t="s">
        <v>56</v>
      </c>
      <c r="C56" s="12"/>
      <c r="D56" s="10"/>
      <c r="E56" s="10"/>
      <c r="F56" s="11"/>
      <c r="G56" s="11"/>
      <c r="H56" t="s">
        <v>4</v>
      </c>
      <c r="I56" s="10" t="s">
        <v>162</v>
      </c>
      <c r="J56" s="10" t="s">
        <v>162</v>
      </c>
      <c r="K56" s="10" t="s">
        <v>162</v>
      </c>
      <c r="L56" s="11" t="s">
        <v>214</v>
      </c>
      <c r="M56" s="11"/>
      <c r="N56" t="s">
        <v>4</v>
      </c>
      <c r="O56" s="10" t="s">
        <v>162</v>
      </c>
      <c r="P56" s="10" t="s">
        <v>162</v>
      </c>
      <c r="Q56" s="10" t="s">
        <v>162</v>
      </c>
      <c r="R56" s="11"/>
      <c r="S56" s="11"/>
      <c r="T56" t="s">
        <v>4</v>
      </c>
      <c r="U56" s="10"/>
      <c r="V56" s="10" t="s">
        <v>177</v>
      </c>
      <c r="W56" s="10" t="s">
        <v>177</v>
      </c>
      <c r="X56" s="12"/>
      <c r="Y56" s="11"/>
      <c r="Z56" s="11"/>
      <c r="AA56" t="s">
        <v>4</v>
      </c>
      <c r="AB56" s="12"/>
      <c r="AC56" s="12"/>
      <c r="AD56" s="10"/>
      <c r="AE56" s="10"/>
      <c r="AF56" s="10"/>
      <c r="AG56" s="11"/>
      <c r="AH56" s="11"/>
      <c r="AI56" t="s">
        <v>4</v>
      </c>
      <c r="AJ56" s="10"/>
      <c r="AK56" s="10"/>
      <c r="AL56" s="10"/>
      <c r="AM56" s="11"/>
      <c r="AN56" s="11"/>
      <c r="AO56" t="s">
        <v>4</v>
      </c>
      <c r="AP56" s="10"/>
      <c r="AQ56" s="10"/>
      <c r="AR56" s="10"/>
      <c r="AS56" s="11"/>
      <c r="AT56" s="11"/>
      <c r="AU56" t="s">
        <v>4</v>
      </c>
      <c r="AV56" s="10"/>
      <c r="AW56" s="10"/>
      <c r="AX56" s="10"/>
      <c r="AY56" s="11"/>
      <c r="AZ56" s="11"/>
      <c r="BA56" t="s">
        <v>4</v>
      </c>
      <c r="BB56" s="10"/>
      <c r="BC56" s="12"/>
      <c r="BF56">
        <f t="shared" si="0"/>
        <v>0</v>
      </c>
      <c r="BG56">
        <f t="shared" si="1"/>
        <v>6</v>
      </c>
      <c r="BH56">
        <f t="shared" si="2"/>
        <v>0</v>
      </c>
      <c r="BI56">
        <f t="shared" si="3"/>
        <v>2</v>
      </c>
      <c r="BJ56">
        <f t="shared" si="4"/>
        <v>0</v>
      </c>
      <c r="BK56">
        <f t="shared" si="5"/>
        <v>0</v>
      </c>
      <c r="BL56">
        <f t="shared" si="6"/>
        <v>0</v>
      </c>
      <c r="BM56">
        <f t="shared" si="7"/>
        <v>0</v>
      </c>
    </row>
    <row r="57" spans="1:66">
      <c r="A57" t="s">
        <v>57</v>
      </c>
      <c r="C57" s="12"/>
      <c r="D57" s="10" t="s">
        <v>170</v>
      </c>
      <c r="E57" s="11"/>
      <c r="F57" s="10" t="s">
        <v>170</v>
      </c>
      <c r="G57" s="11"/>
      <c r="H57" s="10" t="s">
        <v>170</v>
      </c>
      <c r="I57" t="s">
        <v>4</v>
      </c>
      <c r="J57" s="10" t="s">
        <v>163</v>
      </c>
      <c r="K57" s="10" t="s">
        <v>163</v>
      </c>
      <c r="L57" s="10" t="s">
        <v>163</v>
      </c>
      <c r="M57" s="11"/>
      <c r="N57" s="11"/>
      <c r="O57" t="s">
        <v>4</v>
      </c>
      <c r="P57" s="10" t="s">
        <v>163</v>
      </c>
      <c r="Q57" s="10" t="s">
        <v>163</v>
      </c>
      <c r="R57" s="10" t="s">
        <v>163</v>
      </c>
      <c r="S57" s="11"/>
      <c r="T57" s="11"/>
      <c r="U57" t="s">
        <v>4</v>
      </c>
      <c r="V57" s="10"/>
      <c r="W57" s="10"/>
      <c r="X57" s="12"/>
      <c r="Y57" s="10"/>
      <c r="Z57" s="11"/>
      <c r="AA57" s="11"/>
      <c r="AB57" s="12"/>
      <c r="AC57" s="12"/>
      <c r="AD57" t="s">
        <v>4</v>
      </c>
      <c r="AE57" s="10"/>
      <c r="AF57" s="10"/>
      <c r="AG57" s="10"/>
      <c r="AH57" s="11"/>
      <c r="AI57" s="11"/>
      <c r="AJ57" t="s">
        <v>4</v>
      </c>
      <c r="AK57" s="10"/>
      <c r="AL57" s="10"/>
      <c r="AM57" s="10"/>
      <c r="AN57" s="11"/>
      <c r="AO57" s="11"/>
      <c r="AP57" t="s">
        <v>4</v>
      </c>
      <c r="AQ57" s="10"/>
      <c r="AR57" s="10"/>
      <c r="AS57" s="10"/>
      <c r="AT57" s="11"/>
      <c r="AU57" s="11"/>
      <c r="AV57" t="s">
        <v>4</v>
      </c>
      <c r="AW57" s="10"/>
      <c r="AX57" s="10"/>
      <c r="AY57" s="10"/>
      <c r="AZ57" s="11"/>
      <c r="BA57" s="11"/>
      <c r="BB57" t="s">
        <v>4</v>
      </c>
      <c r="BC57" s="12"/>
      <c r="BF57">
        <f t="shared" si="0"/>
        <v>0</v>
      </c>
      <c r="BG57">
        <f t="shared" si="1"/>
        <v>6</v>
      </c>
      <c r="BH57">
        <f t="shared" si="2"/>
        <v>0</v>
      </c>
      <c r="BI57">
        <f t="shared" si="3"/>
        <v>0</v>
      </c>
      <c r="BJ57">
        <f t="shared" si="4"/>
        <v>3</v>
      </c>
      <c r="BK57">
        <f t="shared" si="5"/>
        <v>0</v>
      </c>
      <c r="BL57">
        <f t="shared" si="6"/>
        <v>0</v>
      </c>
      <c r="BM57">
        <f t="shared" si="7"/>
        <v>0</v>
      </c>
    </row>
    <row r="58" spans="1:66">
      <c r="A58" t="s">
        <v>58</v>
      </c>
      <c r="C58" s="12"/>
      <c r="D58" t="s">
        <v>4</v>
      </c>
      <c r="E58" s="10" t="s">
        <v>170</v>
      </c>
      <c r="F58" s="11"/>
      <c r="G58" s="10" t="s">
        <v>170</v>
      </c>
      <c r="H58" s="11"/>
      <c r="I58" s="10" t="s">
        <v>170</v>
      </c>
      <c r="J58" t="s">
        <v>4</v>
      </c>
      <c r="K58" s="10" t="s">
        <v>165</v>
      </c>
      <c r="L58" s="11" t="s">
        <v>214</v>
      </c>
      <c r="M58" s="10" t="s">
        <v>165</v>
      </c>
      <c r="N58" s="11"/>
      <c r="O58" s="10" t="s">
        <v>165</v>
      </c>
      <c r="P58" t="s">
        <v>4</v>
      </c>
      <c r="Q58" s="10" t="s">
        <v>155</v>
      </c>
      <c r="R58" s="10" t="s">
        <v>155</v>
      </c>
      <c r="S58" s="10" t="s">
        <v>155</v>
      </c>
      <c r="T58" s="11"/>
      <c r="U58" s="11"/>
      <c r="V58" t="s">
        <v>4</v>
      </c>
      <c r="W58" s="10"/>
      <c r="X58" s="12"/>
      <c r="Y58" s="10" t="s">
        <v>177</v>
      </c>
      <c r="Z58" s="10" t="s">
        <v>177</v>
      </c>
      <c r="AA58" s="11"/>
      <c r="AB58" s="12"/>
      <c r="AC58" s="12"/>
      <c r="AD58" s="11"/>
      <c r="AE58" t="s">
        <v>4</v>
      </c>
      <c r="AF58" s="10"/>
      <c r="AG58" s="10"/>
      <c r="AH58" s="10"/>
      <c r="AI58" s="11"/>
      <c r="AJ58" s="11"/>
      <c r="AK58" t="s">
        <v>4</v>
      </c>
      <c r="AL58" s="10"/>
      <c r="AM58" s="10"/>
      <c r="AN58" s="10"/>
      <c r="AO58" s="11"/>
      <c r="AP58" s="11"/>
      <c r="AQ58" t="s">
        <v>4</v>
      </c>
      <c r="AR58" s="10"/>
      <c r="AS58" s="10"/>
      <c r="AT58" s="10"/>
      <c r="AU58" s="11"/>
      <c r="AV58" s="11"/>
      <c r="AW58" t="s">
        <v>4</v>
      </c>
      <c r="AX58" s="10"/>
      <c r="AY58" s="10"/>
      <c r="AZ58" s="10"/>
      <c r="BA58" s="11"/>
      <c r="BB58" s="11"/>
      <c r="BC58" s="12"/>
      <c r="BF58">
        <f t="shared" si="0"/>
        <v>3</v>
      </c>
      <c r="BG58">
        <f t="shared" si="1"/>
        <v>0</v>
      </c>
      <c r="BH58">
        <f t="shared" si="2"/>
        <v>3</v>
      </c>
      <c r="BI58">
        <f t="shared" si="3"/>
        <v>2</v>
      </c>
      <c r="BJ58">
        <f t="shared" si="4"/>
        <v>3</v>
      </c>
      <c r="BK58">
        <f t="shared" si="5"/>
        <v>0</v>
      </c>
      <c r="BL58">
        <f t="shared" si="6"/>
        <v>0</v>
      </c>
      <c r="BM58">
        <f t="shared" si="7"/>
        <v>0</v>
      </c>
    </row>
    <row r="59" spans="1:66">
      <c r="A59" t="s">
        <v>59</v>
      </c>
      <c r="C59" s="12"/>
      <c r="D59" s="11"/>
      <c r="E59" t="s">
        <v>4</v>
      </c>
      <c r="F59" s="10"/>
      <c r="G59" s="10"/>
      <c r="H59" s="10"/>
      <c r="I59" s="11"/>
      <c r="J59" s="11"/>
      <c r="K59" t="s">
        <v>4</v>
      </c>
      <c r="L59" s="10" t="s">
        <v>162</v>
      </c>
      <c r="M59" s="10" t="s">
        <v>162</v>
      </c>
      <c r="N59" s="10" t="s">
        <v>162</v>
      </c>
      <c r="O59" s="11"/>
      <c r="P59" s="11"/>
      <c r="Q59" t="s">
        <v>4</v>
      </c>
      <c r="R59" s="10" t="s">
        <v>157</v>
      </c>
      <c r="S59" s="10" t="s">
        <v>157</v>
      </c>
      <c r="T59" s="10" t="s">
        <v>157</v>
      </c>
      <c r="U59" s="11"/>
      <c r="V59" s="11"/>
      <c r="W59" t="s">
        <v>4</v>
      </c>
      <c r="X59" s="12"/>
      <c r="Y59" s="10"/>
      <c r="Z59" s="10"/>
      <c r="AA59" s="10"/>
      <c r="AB59" s="12"/>
      <c r="AC59" s="12"/>
      <c r="AD59" s="11"/>
      <c r="AE59" s="11"/>
      <c r="AF59" t="s">
        <v>4</v>
      </c>
      <c r="AG59" s="10"/>
      <c r="AH59" s="10"/>
      <c r="AI59" s="10"/>
      <c r="AJ59" s="11"/>
      <c r="AK59" s="11"/>
      <c r="AL59" t="s">
        <v>4</v>
      </c>
      <c r="AM59" s="10"/>
      <c r="AN59" s="10"/>
      <c r="AO59" s="10"/>
      <c r="AP59" s="11"/>
      <c r="AQ59" s="11"/>
      <c r="AR59" t="s">
        <v>4</v>
      </c>
      <c r="AS59" s="10"/>
      <c r="AT59" s="10"/>
      <c r="AU59" s="10"/>
      <c r="AV59" s="11"/>
      <c r="AW59" s="11"/>
      <c r="AX59" t="s">
        <v>4</v>
      </c>
      <c r="AY59" s="10"/>
      <c r="AZ59" s="10"/>
      <c r="BA59" s="10"/>
      <c r="BB59" s="11"/>
      <c r="BC59" s="12"/>
      <c r="BF59">
        <f t="shared" si="0"/>
        <v>3</v>
      </c>
      <c r="BG59">
        <f t="shared" si="1"/>
        <v>3</v>
      </c>
      <c r="BH59">
        <f t="shared" si="2"/>
        <v>0</v>
      </c>
      <c r="BI59">
        <f t="shared" si="3"/>
        <v>0</v>
      </c>
      <c r="BJ59">
        <f t="shared" si="4"/>
        <v>0</v>
      </c>
      <c r="BK59">
        <f t="shared" si="5"/>
        <v>0</v>
      </c>
      <c r="BL59">
        <f t="shared" si="6"/>
        <v>0</v>
      </c>
      <c r="BM59">
        <f>COUNTIF(D59:BC59, "jeopardy")</f>
        <v>0</v>
      </c>
    </row>
    <row r="60" spans="1:66">
      <c r="A60" t="s">
        <v>60</v>
      </c>
      <c r="C60" s="12"/>
      <c r="D60" t="s">
        <v>4</v>
      </c>
      <c r="E60" s="20"/>
      <c r="F60" s="20"/>
      <c r="G60" s="20"/>
      <c r="H60" s="19"/>
      <c r="I60" s="19"/>
      <c r="J60" t="s">
        <v>4</v>
      </c>
      <c r="K60" s="20"/>
      <c r="L60" s="20"/>
      <c r="M60" s="20"/>
      <c r="N60" s="19"/>
      <c r="O60" s="19"/>
      <c r="P60" t="s">
        <v>4</v>
      </c>
      <c r="Q60" s="20"/>
      <c r="R60" s="20"/>
      <c r="S60" s="20"/>
      <c r="T60" s="19"/>
      <c r="U60" s="19"/>
      <c r="V60" t="s">
        <v>4</v>
      </c>
      <c r="W60" s="20"/>
      <c r="X60" s="12"/>
      <c r="Y60" s="20"/>
      <c r="Z60" s="20"/>
      <c r="AA60" s="19"/>
      <c r="AB60" s="12"/>
      <c r="AC60" s="12"/>
      <c r="AD60" s="19"/>
      <c r="AE60" t="s">
        <v>4</v>
      </c>
      <c r="AF60" s="20"/>
      <c r="AG60" s="20"/>
      <c r="AH60" s="20"/>
      <c r="AI60" s="19"/>
      <c r="AJ60" s="19"/>
      <c r="AK60" t="s">
        <v>4</v>
      </c>
      <c r="AL60" s="20"/>
      <c r="AM60" s="20"/>
      <c r="AN60" s="20"/>
      <c r="AO60" s="19"/>
      <c r="AP60" s="19"/>
      <c r="AQ60" t="s">
        <v>4</v>
      </c>
      <c r="AR60" s="20"/>
      <c r="AS60" s="20"/>
      <c r="AT60" s="20"/>
      <c r="AU60" s="19"/>
      <c r="AV60" s="19"/>
      <c r="AW60" t="s">
        <v>4</v>
      </c>
      <c r="AX60" s="20"/>
      <c r="AY60" s="20"/>
      <c r="AZ60" s="20"/>
      <c r="BA60" s="19"/>
      <c r="BB60" s="19"/>
      <c r="BC60" s="12"/>
      <c r="BF60">
        <f>COUNTIF(D60:BC60, "iSLUH*")</f>
        <v>0</v>
      </c>
      <c r="BG60">
        <f>COUNTIF(D60:BC60, "iVA*")</f>
        <v>0</v>
      </c>
      <c r="BH60">
        <f>COUNTIF(D60:BC60, "iMICU*")</f>
        <v>0</v>
      </c>
      <c r="BI60">
        <f>COUNTIF(D60:BC60, "iNF*")</f>
        <v>0</v>
      </c>
      <c r="BJ60" t="s">
        <v>145</v>
      </c>
      <c r="BK60">
        <f>COUNTIF(D60:BC60, "iCar*")</f>
        <v>0</v>
      </c>
      <c r="BL60" t="s">
        <v>145</v>
      </c>
      <c r="BM60">
        <f>COUNTIF(D60:BC60, "jeopardy")</f>
        <v>0</v>
      </c>
      <c r="BN60">
        <f>COUNTIF(D59:BC59, "Swing")</f>
        <v>0</v>
      </c>
    </row>
    <row r="61" spans="1:66">
      <c r="A61" t="s">
        <v>61</v>
      </c>
      <c r="C61" s="12"/>
      <c r="D61" s="19"/>
      <c r="E61" t="s">
        <v>4</v>
      </c>
      <c r="F61" s="20"/>
      <c r="G61" s="20"/>
      <c r="H61" s="20"/>
      <c r="I61" s="19"/>
      <c r="J61" s="19"/>
      <c r="K61" t="s">
        <v>4</v>
      </c>
      <c r="L61" s="20"/>
      <c r="M61" s="20"/>
      <c r="N61" s="20"/>
      <c r="O61" s="19"/>
      <c r="P61" s="19"/>
      <c r="Q61" t="s">
        <v>4</v>
      </c>
      <c r="R61" s="20"/>
      <c r="S61" s="20"/>
      <c r="T61" s="20"/>
      <c r="U61" s="19"/>
      <c r="V61" s="19"/>
      <c r="W61" t="s">
        <v>4</v>
      </c>
      <c r="X61" s="12"/>
      <c r="Y61" s="20"/>
      <c r="Z61" s="20"/>
      <c r="AA61" s="20"/>
      <c r="AB61" s="12"/>
      <c r="AC61" s="12"/>
      <c r="AD61" s="19"/>
      <c r="AE61" s="19"/>
      <c r="AF61" t="s">
        <v>4</v>
      </c>
      <c r="AG61" s="20"/>
      <c r="AH61" s="20"/>
      <c r="AI61" s="20"/>
      <c r="AJ61" s="19"/>
      <c r="AK61" s="19"/>
      <c r="AL61" t="s">
        <v>4</v>
      </c>
      <c r="AM61" s="20"/>
      <c r="AN61" s="20"/>
      <c r="AO61" s="20"/>
      <c r="AP61" s="19"/>
      <c r="AQ61" s="19"/>
      <c r="AR61" t="s">
        <v>4</v>
      </c>
      <c r="AS61" s="20"/>
      <c r="AT61" s="20"/>
      <c r="AU61" s="20"/>
      <c r="AV61" s="19"/>
      <c r="AW61" s="19"/>
      <c r="AX61" t="s">
        <v>4</v>
      </c>
      <c r="AY61" s="20"/>
      <c r="AZ61" s="20"/>
      <c r="BA61" s="20"/>
      <c r="BB61" s="19"/>
      <c r="BC61" s="12"/>
      <c r="BF61">
        <f t="shared" ref="BF61:BF94" si="8">COUNTIF(D61:BC61, "iSLUH*")</f>
        <v>0</v>
      </c>
      <c r="BG61">
        <f t="shared" ref="BG61:BG94" si="9">COUNTIF(D61:BC61, "iVA*")</f>
        <v>0</v>
      </c>
      <c r="BH61">
        <f t="shared" ref="BH61:BH94" si="10">COUNTIF(D61:BC61, "iMICU*")</f>
        <v>0</v>
      </c>
      <c r="BI61">
        <f t="shared" ref="BI61:BI94" si="11">COUNTIF(D61:BC61, "iNF*")</f>
        <v>0</v>
      </c>
      <c r="BJ61" t="s">
        <v>145</v>
      </c>
      <c r="BK61">
        <f t="shared" ref="BK61:BK94" si="12">COUNTIF(D61:BC61, "iCar*")</f>
        <v>0</v>
      </c>
      <c r="BL61" t="s">
        <v>145</v>
      </c>
      <c r="BM61">
        <f t="shared" ref="BM61:BM94" si="13">COUNTIF(D61:BC61, "jeopardy")</f>
        <v>0</v>
      </c>
      <c r="BN61">
        <f t="shared" ref="BN61:BN94" si="14">COUNTIF(D60:BC60, "Swing")</f>
        <v>0</v>
      </c>
    </row>
    <row r="62" spans="1:66">
      <c r="A62" t="s">
        <v>62</v>
      </c>
      <c r="C62" s="12"/>
      <c r="D62" s="20"/>
      <c r="E62" s="19"/>
      <c r="F62" t="s">
        <v>4</v>
      </c>
      <c r="G62" s="20"/>
      <c r="H62" s="20"/>
      <c r="I62" s="20"/>
      <c r="J62" s="19"/>
      <c r="K62" s="19"/>
      <c r="L62" t="s">
        <v>4</v>
      </c>
      <c r="M62" s="20"/>
      <c r="N62" s="20"/>
      <c r="O62" s="20"/>
      <c r="P62" s="19"/>
      <c r="Q62" s="19"/>
      <c r="R62" t="s">
        <v>4</v>
      </c>
      <c r="S62" s="20"/>
      <c r="T62" s="20"/>
      <c r="U62" s="20"/>
      <c r="V62" s="19"/>
      <c r="W62" s="19"/>
      <c r="X62" s="12"/>
      <c r="Y62" t="s">
        <v>4</v>
      </c>
      <c r="Z62" s="20"/>
      <c r="AA62" s="20"/>
      <c r="AB62" s="12"/>
      <c r="AC62" s="12"/>
      <c r="AD62" s="20"/>
      <c r="AE62" s="19"/>
      <c r="AF62" s="19"/>
      <c r="AG62" t="s">
        <v>4</v>
      </c>
      <c r="AH62" s="20"/>
      <c r="AI62" s="20"/>
      <c r="AJ62" s="20"/>
      <c r="AK62" s="19"/>
      <c r="AL62" s="19"/>
      <c r="AM62" t="s">
        <v>4</v>
      </c>
      <c r="AN62" s="20"/>
      <c r="AO62" s="20"/>
      <c r="AP62" s="20"/>
      <c r="AQ62" s="19"/>
      <c r="AR62" s="19"/>
      <c r="AS62" t="s">
        <v>4</v>
      </c>
      <c r="AT62" s="20"/>
      <c r="AU62" s="20"/>
      <c r="AV62" s="20"/>
      <c r="AW62" s="19"/>
      <c r="AX62" s="19"/>
      <c r="AY62" t="s">
        <v>4</v>
      </c>
      <c r="AZ62" s="20"/>
      <c r="BA62" s="20"/>
      <c r="BB62" s="20"/>
      <c r="BC62" s="12"/>
      <c r="BF62">
        <f t="shared" si="8"/>
        <v>0</v>
      </c>
      <c r="BG62">
        <f t="shared" si="9"/>
        <v>0</v>
      </c>
      <c r="BH62">
        <f t="shared" si="10"/>
        <v>0</v>
      </c>
      <c r="BI62">
        <f t="shared" si="11"/>
        <v>0</v>
      </c>
      <c r="BJ62" t="s">
        <v>145</v>
      </c>
      <c r="BK62">
        <f t="shared" si="12"/>
        <v>0</v>
      </c>
      <c r="BL62" t="s">
        <v>145</v>
      </c>
      <c r="BM62">
        <f t="shared" si="13"/>
        <v>0</v>
      </c>
      <c r="BN62">
        <f t="shared" si="14"/>
        <v>0</v>
      </c>
    </row>
    <row r="63" spans="1:66">
      <c r="A63" t="s">
        <v>63</v>
      </c>
      <c r="C63" s="12"/>
      <c r="D63" s="20"/>
      <c r="E63" s="20"/>
      <c r="F63" s="20"/>
      <c r="G63" t="s">
        <v>4</v>
      </c>
      <c r="H63" s="20"/>
      <c r="I63" s="20"/>
      <c r="J63" s="20"/>
      <c r="K63" s="19"/>
      <c r="L63" s="19"/>
      <c r="M63" t="s">
        <v>4</v>
      </c>
      <c r="N63" s="20"/>
      <c r="O63" s="20"/>
      <c r="P63" s="20"/>
      <c r="Q63" s="19"/>
      <c r="R63" s="19"/>
      <c r="S63" t="s">
        <v>4</v>
      </c>
      <c r="T63" s="20"/>
      <c r="U63" s="20"/>
      <c r="V63" s="20"/>
      <c r="W63" s="19"/>
      <c r="X63" s="12"/>
      <c r="Y63" s="19"/>
      <c r="Z63" t="s">
        <v>4</v>
      </c>
      <c r="AA63" s="20"/>
      <c r="AB63" s="12"/>
      <c r="AC63" s="12"/>
      <c r="AD63" s="20"/>
      <c r="AE63" s="20"/>
      <c r="AF63" s="19"/>
      <c r="AG63" s="19"/>
      <c r="AH63" t="s">
        <v>4</v>
      </c>
      <c r="AI63" s="20"/>
      <c r="AJ63" s="20"/>
      <c r="AK63" s="20"/>
      <c r="AL63" s="19"/>
      <c r="AM63" s="19"/>
      <c r="AN63" t="s">
        <v>4</v>
      </c>
      <c r="AO63" s="20"/>
      <c r="AP63" s="20"/>
      <c r="AQ63" s="20"/>
      <c r="AR63" s="19"/>
      <c r="AS63" s="19"/>
      <c r="AT63" t="s">
        <v>4</v>
      </c>
      <c r="AU63" s="20"/>
      <c r="AV63" s="20"/>
      <c r="AW63" s="20"/>
      <c r="AX63" s="19"/>
      <c r="AY63" s="19"/>
      <c r="AZ63" t="s">
        <v>4</v>
      </c>
      <c r="BA63" s="20"/>
      <c r="BB63" s="20"/>
      <c r="BC63" s="12"/>
      <c r="BF63">
        <f t="shared" si="8"/>
        <v>0</v>
      </c>
      <c r="BG63">
        <f t="shared" si="9"/>
        <v>0</v>
      </c>
      <c r="BH63">
        <f t="shared" si="10"/>
        <v>0</v>
      </c>
      <c r="BI63">
        <f t="shared" si="11"/>
        <v>0</v>
      </c>
      <c r="BJ63" t="s">
        <v>145</v>
      </c>
      <c r="BK63">
        <f t="shared" si="12"/>
        <v>0</v>
      </c>
      <c r="BL63" t="s">
        <v>145</v>
      </c>
      <c r="BM63">
        <f t="shared" si="13"/>
        <v>0</v>
      </c>
      <c r="BN63">
        <f t="shared" si="14"/>
        <v>0</v>
      </c>
    </row>
    <row r="64" spans="1:66">
      <c r="A64" t="s">
        <v>64</v>
      </c>
      <c r="C64" s="12"/>
      <c r="D64" s="20"/>
      <c r="E64" s="20"/>
      <c r="F64" s="19"/>
      <c r="G64" s="19"/>
      <c r="H64" t="s">
        <v>4</v>
      </c>
      <c r="I64" s="20"/>
      <c r="J64" s="20"/>
      <c r="K64" s="20"/>
      <c r="L64" s="19"/>
      <c r="M64" s="19"/>
      <c r="N64" t="s">
        <v>4</v>
      </c>
      <c r="O64" s="20"/>
      <c r="P64" s="20"/>
      <c r="Q64" s="20"/>
      <c r="R64" s="19"/>
      <c r="S64" s="19"/>
      <c r="T64" t="s">
        <v>4</v>
      </c>
      <c r="U64" s="20"/>
      <c r="V64" s="20"/>
      <c r="W64" s="20"/>
      <c r="X64" s="12"/>
      <c r="Y64" s="19"/>
      <c r="Z64" s="19"/>
      <c r="AA64" t="s">
        <v>4</v>
      </c>
      <c r="AB64" s="12"/>
      <c r="AC64" s="12"/>
      <c r="AD64" s="20"/>
      <c r="AE64" s="20"/>
      <c r="AF64" s="20"/>
      <c r="AG64" s="19"/>
      <c r="AH64" s="19"/>
      <c r="AI64" t="s">
        <v>4</v>
      </c>
      <c r="AJ64" s="20"/>
      <c r="AK64" s="20"/>
      <c r="AL64" s="20"/>
      <c r="AM64" s="19"/>
      <c r="AN64" s="19"/>
      <c r="AO64" t="s">
        <v>4</v>
      </c>
      <c r="AP64" s="20"/>
      <c r="AQ64" s="20"/>
      <c r="AR64" s="20"/>
      <c r="AS64" s="19"/>
      <c r="AT64" s="19"/>
      <c r="AU64" t="s">
        <v>4</v>
      </c>
      <c r="AV64" s="20"/>
      <c r="AW64" s="20"/>
      <c r="AX64" s="20"/>
      <c r="AY64" s="19"/>
      <c r="AZ64" s="19"/>
      <c r="BA64" t="s">
        <v>4</v>
      </c>
      <c r="BB64" s="20"/>
      <c r="BC64" s="12"/>
      <c r="BF64">
        <f t="shared" si="8"/>
        <v>0</v>
      </c>
      <c r="BG64">
        <f t="shared" si="9"/>
        <v>0</v>
      </c>
      <c r="BH64">
        <f t="shared" si="10"/>
        <v>0</v>
      </c>
      <c r="BI64">
        <f t="shared" si="11"/>
        <v>0</v>
      </c>
      <c r="BJ64" t="s">
        <v>145</v>
      </c>
      <c r="BK64">
        <f t="shared" si="12"/>
        <v>0</v>
      </c>
      <c r="BL64" t="s">
        <v>145</v>
      </c>
      <c r="BM64">
        <f t="shared" si="13"/>
        <v>0</v>
      </c>
      <c r="BN64">
        <f t="shared" si="14"/>
        <v>0</v>
      </c>
    </row>
    <row r="65" spans="1:66">
      <c r="A65" t="s">
        <v>65</v>
      </c>
      <c r="C65" s="12"/>
      <c r="D65" s="20"/>
      <c r="E65" s="20"/>
      <c r="F65" s="20"/>
      <c r="G65" s="19"/>
      <c r="H65" s="19"/>
      <c r="I65" t="s">
        <v>4</v>
      </c>
      <c r="J65" s="20"/>
      <c r="K65" s="20"/>
      <c r="L65" s="20"/>
      <c r="M65" s="19"/>
      <c r="N65" s="19"/>
      <c r="O65" t="s">
        <v>4</v>
      </c>
      <c r="P65" s="20"/>
      <c r="Q65" s="20"/>
      <c r="R65" s="20"/>
      <c r="S65" s="19"/>
      <c r="T65" s="19"/>
      <c r="U65" t="s">
        <v>4</v>
      </c>
      <c r="V65" s="20"/>
      <c r="W65" s="20"/>
      <c r="X65" s="12"/>
      <c r="Y65" s="20"/>
      <c r="Z65" s="19"/>
      <c r="AA65" s="19"/>
      <c r="AB65" s="12"/>
      <c r="AC65" s="12"/>
      <c r="AD65" t="s">
        <v>4</v>
      </c>
      <c r="AE65" s="20"/>
      <c r="AF65" s="20"/>
      <c r="AG65" s="20"/>
      <c r="AH65" s="19"/>
      <c r="AI65" s="19"/>
      <c r="AJ65" t="s">
        <v>4</v>
      </c>
      <c r="AK65" s="20"/>
      <c r="AL65" s="20"/>
      <c r="AM65" s="20"/>
      <c r="AN65" s="19"/>
      <c r="AO65" s="19"/>
      <c r="AP65" t="s">
        <v>4</v>
      </c>
      <c r="AQ65" s="20"/>
      <c r="AR65" s="20"/>
      <c r="AS65" s="20"/>
      <c r="AT65" s="19"/>
      <c r="AU65" s="19"/>
      <c r="AV65" t="s">
        <v>4</v>
      </c>
      <c r="AW65" s="20"/>
      <c r="AX65" s="20"/>
      <c r="AY65" s="20"/>
      <c r="AZ65" s="19"/>
      <c r="BA65" s="19"/>
      <c r="BB65" t="s">
        <v>4</v>
      </c>
      <c r="BC65" s="12"/>
      <c r="BF65">
        <f t="shared" si="8"/>
        <v>0</v>
      </c>
      <c r="BG65">
        <f t="shared" si="9"/>
        <v>0</v>
      </c>
      <c r="BH65">
        <f t="shared" si="10"/>
        <v>0</v>
      </c>
      <c r="BI65">
        <f t="shared" si="11"/>
        <v>0</v>
      </c>
      <c r="BJ65" t="s">
        <v>145</v>
      </c>
      <c r="BK65">
        <f t="shared" si="12"/>
        <v>0</v>
      </c>
      <c r="BL65" t="s">
        <v>145</v>
      </c>
      <c r="BM65">
        <f t="shared" si="13"/>
        <v>0</v>
      </c>
      <c r="BN65">
        <f t="shared" si="14"/>
        <v>0</v>
      </c>
    </row>
    <row r="66" spans="1:66">
      <c r="A66" t="s">
        <v>66</v>
      </c>
      <c r="C66" s="12"/>
      <c r="D66" t="s">
        <v>4</v>
      </c>
      <c r="E66" s="20"/>
      <c r="F66" s="20"/>
      <c r="G66" s="20"/>
      <c r="H66" s="19"/>
      <c r="I66" s="19"/>
      <c r="J66" t="s">
        <v>4</v>
      </c>
      <c r="K66" s="20"/>
      <c r="L66" s="20"/>
      <c r="M66" s="20"/>
      <c r="N66" s="19"/>
      <c r="O66" s="19"/>
      <c r="P66" t="s">
        <v>4</v>
      </c>
      <c r="Q66" s="20"/>
      <c r="R66" s="20"/>
      <c r="S66" s="20"/>
      <c r="T66" s="19"/>
      <c r="U66" s="19"/>
      <c r="V66" t="s">
        <v>4</v>
      </c>
      <c r="W66" s="20"/>
      <c r="X66" s="12"/>
      <c r="Y66" s="20"/>
      <c r="Z66" s="20"/>
      <c r="AA66" s="19"/>
      <c r="AB66" s="12"/>
      <c r="AC66" s="12"/>
      <c r="AD66" s="19"/>
      <c r="AE66" t="s">
        <v>4</v>
      </c>
      <c r="AF66" s="20"/>
      <c r="AG66" s="20"/>
      <c r="AH66" s="20"/>
      <c r="AI66" s="19"/>
      <c r="AJ66" s="19"/>
      <c r="AK66" t="s">
        <v>4</v>
      </c>
      <c r="AL66" s="20"/>
      <c r="AM66" s="20"/>
      <c r="AN66" s="20"/>
      <c r="AO66" s="19"/>
      <c r="AP66" s="19"/>
      <c r="AQ66" t="s">
        <v>4</v>
      </c>
      <c r="AR66" s="20"/>
      <c r="AS66" s="20"/>
      <c r="AT66" s="20"/>
      <c r="AU66" s="19"/>
      <c r="AV66" s="19"/>
      <c r="AW66" t="s">
        <v>4</v>
      </c>
      <c r="AX66" s="20"/>
      <c r="AY66" s="20"/>
      <c r="AZ66" s="20"/>
      <c r="BA66" s="19"/>
      <c r="BB66" s="19"/>
      <c r="BC66" s="12"/>
      <c r="BF66">
        <f t="shared" si="8"/>
        <v>0</v>
      </c>
      <c r="BG66">
        <f t="shared" si="9"/>
        <v>0</v>
      </c>
      <c r="BH66">
        <f t="shared" si="10"/>
        <v>0</v>
      </c>
      <c r="BI66">
        <f t="shared" si="11"/>
        <v>0</v>
      </c>
      <c r="BJ66" t="s">
        <v>145</v>
      </c>
      <c r="BK66">
        <f t="shared" si="12"/>
        <v>0</v>
      </c>
      <c r="BL66" t="s">
        <v>145</v>
      </c>
      <c r="BM66">
        <f t="shared" si="13"/>
        <v>0</v>
      </c>
      <c r="BN66">
        <f t="shared" si="14"/>
        <v>0</v>
      </c>
    </row>
    <row r="67" spans="1:66">
      <c r="A67" t="s">
        <v>67</v>
      </c>
      <c r="C67" s="12"/>
      <c r="D67" s="19"/>
      <c r="E67" t="s">
        <v>4</v>
      </c>
      <c r="F67" s="20"/>
      <c r="G67" s="20"/>
      <c r="H67" s="20"/>
      <c r="I67" s="19"/>
      <c r="J67" s="19"/>
      <c r="K67" t="s">
        <v>4</v>
      </c>
      <c r="L67" s="20"/>
      <c r="M67" s="20"/>
      <c r="N67" s="20"/>
      <c r="O67" s="19"/>
      <c r="P67" s="19"/>
      <c r="Q67" t="s">
        <v>4</v>
      </c>
      <c r="R67" s="20"/>
      <c r="S67" s="20"/>
      <c r="T67" s="20"/>
      <c r="U67" s="19"/>
      <c r="V67" s="19"/>
      <c r="W67" t="s">
        <v>4</v>
      </c>
      <c r="X67" s="12"/>
      <c r="Y67" s="20"/>
      <c r="Z67" s="20"/>
      <c r="AA67" s="20"/>
      <c r="AB67" s="12"/>
      <c r="AC67" s="12"/>
      <c r="AD67" s="19"/>
      <c r="AE67" s="19"/>
      <c r="AF67" t="s">
        <v>4</v>
      </c>
      <c r="AG67" s="20"/>
      <c r="AH67" s="20"/>
      <c r="AI67" s="20"/>
      <c r="AJ67" s="19"/>
      <c r="AK67" s="19"/>
      <c r="AL67" t="s">
        <v>4</v>
      </c>
      <c r="AM67" s="20"/>
      <c r="AN67" s="20"/>
      <c r="AO67" s="20"/>
      <c r="AP67" s="19"/>
      <c r="AQ67" s="19"/>
      <c r="AR67" t="s">
        <v>4</v>
      </c>
      <c r="AS67" s="20"/>
      <c r="AT67" s="20"/>
      <c r="AU67" s="20"/>
      <c r="AV67" s="19"/>
      <c r="AW67" s="19"/>
      <c r="AX67" t="s">
        <v>4</v>
      </c>
      <c r="AY67" s="20"/>
      <c r="AZ67" s="20"/>
      <c r="BA67" s="20"/>
      <c r="BB67" s="19"/>
      <c r="BC67" s="12"/>
      <c r="BF67">
        <f t="shared" si="8"/>
        <v>0</v>
      </c>
      <c r="BG67">
        <f t="shared" si="9"/>
        <v>0</v>
      </c>
      <c r="BH67">
        <f t="shared" si="10"/>
        <v>0</v>
      </c>
      <c r="BI67">
        <f t="shared" si="11"/>
        <v>0</v>
      </c>
      <c r="BJ67" t="s">
        <v>145</v>
      </c>
      <c r="BK67">
        <f t="shared" si="12"/>
        <v>0</v>
      </c>
      <c r="BL67" t="s">
        <v>145</v>
      </c>
      <c r="BM67">
        <f t="shared" si="13"/>
        <v>0</v>
      </c>
      <c r="BN67">
        <f t="shared" si="14"/>
        <v>0</v>
      </c>
    </row>
    <row r="68" spans="1:66">
      <c r="A68" t="s">
        <v>68</v>
      </c>
      <c r="C68" s="12"/>
      <c r="D68" s="20"/>
      <c r="E68" s="19"/>
      <c r="F68" t="s">
        <v>4</v>
      </c>
      <c r="G68" s="20"/>
      <c r="H68" s="20"/>
      <c r="I68" s="20"/>
      <c r="J68" s="19"/>
      <c r="K68" s="19"/>
      <c r="L68" t="s">
        <v>4</v>
      </c>
      <c r="M68" s="20"/>
      <c r="N68" s="20"/>
      <c r="O68" s="20"/>
      <c r="P68" s="19"/>
      <c r="Q68" s="19"/>
      <c r="R68" t="s">
        <v>4</v>
      </c>
      <c r="S68" s="20"/>
      <c r="T68" s="20"/>
      <c r="U68" s="20"/>
      <c r="V68" s="19"/>
      <c r="W68" s="19"/>
      <c r="X68" s="12"/>
      <c r="Y68" t="s">
        <v>4</v>
      </c>
      <c r="Z68" s="20"/>
      <c r="AA68" s="20"/>
      <c r="AB68" s="12"/>
      <c r="AC68" s="12"/>
      <c r="AD68" s="20"/>
      <c r="AE68" s="19"/>
      <c r="AF68" s="19"/>
      <c r="AG68" t="s">
        <v>4</v>
      </c>
      <c r="AH68" s="20"/>
      <c r="AI68" s="20"/>
      <c r="AJ68" s="20"/>
      <c r="AK68" s="19"/>
      <c r="AL68" s="19"/>
      <c r="AM68" t="s">
        <v>4</v>
      </c>
      <c r="AN68" s="20"/>
      <c r="AO68" s="20"/>
      <c r="AP68" s="20"/>
      <c r="AQ68" s="19"/>
      <c r="AR68" s="19"/>
      <c r="AS68" t="s">
        <v>4</v>
      </c>
      <c r="AT68" s="20"/>
      <c r="AU68" s="20"/>
      <c r="AV68" s="20"/>
      <c r="AW68" s="19"/>
      <c r="AX68" s="19"/>
      <c r="AY68" t="s">
        <v>4</v>
      </c>
      <c r="AZ68" s="20"/>
      <c r="BA68" s="20"/>
      <c r="BB68" s="20"/>
      <c r="BC68" s="12"/>
      <c r="BF68">
        <f t="shared" si="8"/>
        <v>0</v>
      </c>
      <c r="BG68">
        <f t="shared" si="9"/>
        <v>0</v>
      </c>
      <c r="BH68">
        <f t="shared" si="10"/>
        <v>0</v>
      </c>
      <c r="BI68">
        <f t="shared" si="11"/>
        <v>0</v>
      </c>
      <c r="BJ68" t="s">
        <v>145</v>
      </c>
      <c r="BK68">
        <f t="shared" si="12"/>
        <v>0</v>
      </c>
      <c r="BL68" t="s">
        <v>145</v>
      </c>
      <c r="BM68">
        <f t="shared" si="13"/>
        <v>0</v>
      </c>
      <c r="BN68">
        <f t="shared" si="14"/>
        <v>0</v>
      </c>
    </row>
    <row r="69" spans="1:66">
      <c r="A69" t="s">
        <v>69</v>
      </c>
      <c r="C69" s="12"/>
      <c r="D69" s="20"/>
      <c r="E69" s="20"/>
      <c r="F69" s="20"/>
      <c r="G69" t="s">
        <v>4</v>
      </c>
      <c r="H69" s="20"/>
      <c r="I69" s="20"/>
      <c r="J69" s="20"/>
      <c r="K69" s="19"/>
      <c r="L69" s="19"/>
      <c r="M69" t="s">
        <v>4</v>
      </c>
      <c r="N69" s="20"/>
      <c r="O69" s="20"/>
      <c r="P69" s="20"/>
      <c r="Q69" s="19"/>
      <c r="R69" s="19"/>
      <c r="S69" t="s">
        <v>4</v>
      </c>
      <c r="T69" s="20"/>
      <c r="U69" s="20"/>
      <c r="V69" s="20"/>
      <c r="W69" s="19"/>
      <c r="X69" s="12"/>
      <c r="Y69" s="19"/>
      <c r="Z69" t="s">
        <v>4</v>
      </c>
      <c r="AA69" s="20"/>
      <c r="AB69" s="12"/>
      <c r="AC69" s="12"/>
      <c r="AD69" s="20"/>
      <c r="AE69" s="20"/>
      <c r="AF69" s="19"/>
      <c r="AG69" s="19"/>
      <c r="AH69" t="s">
        <v>4</v>
      </c>
      <c r="AI69" s="20"/>
      <c r="AJ69" s="20"/>
      <c r="AK69" s="20"/>
      <c r="AL69" s="19"/>
      <c r="AM69" s="19"/>
      <c r="AN69" t="s">
        <v>4</v>
      </c>
      <c r="AO69" s="20"/>
      <c r="AP69" s="20"/>
      <c r="AQ69" s="20"/>
      <c r="AR69" s="19"/>
      <c r="AS69" s="19"/>
      <c r="AT69" t="s">
        <v>4</v>
      </c>
      <c r="AU69" s="20"/>
      <c r="AV69" s="20"/>
      <c r="AW69" s="20"/>
      <c r="AX69" s="19"/>
      <c r="AY69" s="19"/>
      <c r="AZ69" t="s">
        <v>4</v>
      </c>
      <c r="BA69" s="20"/>
      <c r="BB69" s="20"/>
      <c r="BC69" s="12"/>
      <c r="BF69">
        <f t="shared" si="8"/>
        <v>0</v>
      </c>
      <c r="BG69">
        <f t="shared" si="9"/>
        <v>0</v>
      </c>
      <c r="BH69">
        <f t="shared" si="10"/>
        <v>0</v>
      </c>
      <c r="BI69">
        <f t="shared" si="11"/>
        <v>0</v>
      </c>
      <c r="BJ69" t="s">
        <v>145</v>
      </c>
      <c r="BK69">
        <f t="shared" si="12"/>
        <v>0</v>
      </c>
      <c r="BL69" t="s">
        <v>145</v>
      </c>
      <c r="BM69">
        <f t="shared" si="13"/>
        <v>0</v>
      </c>
      <c r="BN69">
        <f t="shared" si="14"/>
        <v>0</v>
      </c>
    </row>
    <row r="70" spans="1:66">
      <c r="A70" t="s">
        <v>70</v>
      </c>
      <c r="C70" s="12"/>
      <c r="D70" s="20"/>
      <c r="E70" s="20"/>
      <c r="F70" s="19"/>
      <c r="G70" s="19"/>
      <c r="H70" t="s">
        <v>4</v>
      </c>
      <c r="I70" s="20"/>
      <c r="J70" s="20"/>
      <c r="K70" s="20"/>
      <c r="L70" s="19"/>
      <c r="M70" s="19"/>
      <c r="N70" t="s">
        <v>4</v>
      </c>
      <c r="O70" s="20"/>
      <c r="P70" s="20"/>
      <c r="Q70" s="20"/>
      <c r="R70" s="19"/>
      <c r="S70" s="19"/>
      <c r="T70" t="s">
        <v>4</v>
      </c>
      <c r="U70" s="20"/>
      <c r="V70" s="20"/>
      <c r="W70" s="20"/>
      <c r="X70" s="12"/>
      <c r="Y70" s="19"/>
      <c r="Z70" s="19"/>
      <c r="AA70" t="s">
        <v>4</v>
      </c>
      <c r="AB70" s="12"/>
      <c r="AC70" s="12"/>
      <c r="AD70" s="20"/>
      <c r="AE70" s="20"/>
      <c r="AF70" s="20"/>
      <c r="AG70" s="19"/>
      <c r="AH70" s="19"/>
      <c r="AI70" t="s">
        <v>4</v>
      </c>
      <c r="AJ70" s="20"/>
      <c r="AK70" s="20"/>
      <c r="AL70" s="20"/>
      <c r="AM70" s="19"/>
      <c r="AN70" s="19"/>
      <c r="AO70" t="s">
        <v>4</v>
      </c>
      <c r="AP70" s="20"/>
      <c r="AQ70" s="20"/>
      <c r="AR70" s="20"/>
      <c r="AS70" s="19"/>
      <c r="AT70" s="19"/>
      <c r="AU70" t="s">
        <v>4</v>
      </c>
      <c r="AV70" s="20"/>
      <c r="AW70" s="20"/>
      <c r="AX70" s="20"/>
      <c r="AY70" s="19"/>
      <c r="AZ70" s="19"/>
      <c r="BA70" t="s">
        <v>4</v>
      </c>
      <c r="BB70" s="20"/>
      <c r="BC70" s="12"/>
      <c r="BF70">
        <f t="shared" si="8"/>
        <v>0</v>
      </c>
      <c r="BG70">
        <f t="shared" si="9"/>
        <v>0</v>
      </c>
      <c r="BH70">
        <f t="shared" si="10"/>
        <v>0</v>
      </c>
      <c r="BI70">
        <f t="shared" si="11"/>
        <v>0</v>
      </c>
      <c r="BJ70" t="s">
        <v>145</v>
      </c>
      <c r="BK70">
        <f t="shared" si="12"/>
        <v>0</v>
      </c>
      <c r="BL70" t="s">
        <v>145</v>
      </c>
      <c r="BM70">
        <f t="shared" si="13"/>
        <v>0</v>
      </c>
      <c r="BN70">
        <f t="shared" si="14"/>
        <v>0</v>
      </c>
    </row>
    <row r="71" spans="1:66">
      <c r="A71" t="s">
        <v>71</v>
      </c>
      <c r="C71" s="12"/>
      <c r="D71" s="20"/>
      <c r="E71" s="20"/>
      <c r="F71" s="20"/>
      <c r="G71" s="19"/>
      <c r="H71" s="19"/>
      <c r="I71" t="s">
        <v>4</v>
      </c>
      <c r="J71" s="20"/>
      <c r="K71" s="20"/>
      <c r="L71" s="20"/>
      <c r="M71" s="19"/>
      <c r="N71" s="19"/>
      <c r="O71" t="s">
        <v>4</v>
      </c>
      <c r="P71" s="20"/>
      <c r="Q71" s="20"/>
      <c r="R71" s="20"/>
      <c r="S71" s="19"/>
      <c r="T71" s="19"/>
      <c r="U71" t="s">
        <v>4</v>
      </c>
      <c r="V71" s="20"/>
      <c r="W71" s="20"/>
      <c r="X71" s="12"/>
      <c r="Y71" s="20"/>
      <c r="Z71" s="19"/>
      <c r="AA71" s="19"/>
      <c r="AB71" s="12"/>
      <c r="AC71" s="12"/>
      <c r="AD71" t="s">
        <v>4</v>
      </c>
      <c r="AE71" s="20"/>
      <c r="AF71" s="20"/>
      <c r="AG71" s="20"/>
      <c r="AH71" s="19"/>
      <c r="AI71" s="19"/>
      <c r="AJ71" t="s">
        <v>4</v>
      </c>
      <c r="AK71" s="20"/>
      <c r="AL71" s="20"/>
      <c r="AM71" s="20"/>
      <c r="AN71" s="19"/>
      <c r="AO71" s="19"/>
      <c r="AP71" t="s">
        <v>4</v>
      </c>
      <c r="AQ71" s="20"/>
      <c r="AR71" s="20"/>
      <c r="AS71" s="20"/>
      <c r="AT71" s="19"/>
      <c r="AU71" s="19"/>
      <c r="AV71" t="s">
        <v>4</v>
      </c>
      <c r="AW71" s="20"/>
      <c r="AX71" s="20"/>
      <c r="AY71" s="20"/>
      <c r="AZ71" s="19"/>
      <c r="BA71" s="19"/>
      <c r="BB71" t="s">
        <v>4</v>
      </c>
      <c r="BC71" s="12"/>
      <c r="BF71">
        <f t="shared" si="8"/>
        <v>0</v>
      </c>
      <c r="BG71">
        <f t="shared" si="9"/>
        <v>0</v>
      </c>
      <c r="BH71">
        <f t="shared" si="10"/>
        <v>0</v>
      </c>
      <c r="BI71">
        <f t="shared" si="11"/>
        <v>0</v>
      </c>
      <c r="BJ71" t="s">
        <v>145</v>
      </c>
      <c r="BK71">
        <f t="shared" si="12"/>
        <v>0</v>
      </c>
      <c r="BL71" t="s">
        <v>145</v>
      </c>
      <c r="BM71">
        <f t="shared" si="13"/>
        <v>0</v>
      </c>
      <c r="BN71">
        <f t="shared" si="14"/>
        <v>0</v>
      </c>
    </row>
    <row r="72" spans="1:66">
      <c r="A72" t="s">
        <v>72</v>
      </c>
      <c r="C72" s="12"/>
      <c r="D72" t="s">
        <v>4</v>
      </c>
      <c r="E72" s="20"/>
      <c r="F72" s="20"/>
      <c r="G72" s="20"/>
      <c r="H72" s="19"/>
      <c r="I72" s="19"/>
      <c r="J72" t="s">
        <v>4</v>
      </c>
      <c r="K72" s="20"/>
      <c r="L72" s="20"/>
      <c r="M72" s="20"/>
      <c r="N72" s="19"/>
      <c r="O72" s="19"/>
      <c r="P72" t="s">
        <v>4</v>
      </c>
      <c r="Q72" s="20"/>
      <c r="R72" s="20"/>
      <c r="S72" s="20"/>
      <c r="T72" s="19"/>
      <c r="U72" s="19"/>
      <c r="V72" t="s">
        <v>4</v>
      </c>
      <c r="W72" s="20"/>
      <c r="X72" s="12"/>
      <c r="Y72" s="20"/>
      <c r="Z72" s="20"/>
      <c r="AA72" s="19"/>
      <c r="AB72" s="12"/>
      <c r="AC72" s="12"/>
      <c r="AD72" s="19"/>
      <c r="AE72" t="s">
        <v>4</v>
      </c>
      <c r="AF72" s="20"/>
      <c r="AG72" s="20"/>
      <c r="AH72" s="20"/>
      <c r="AI72" s="19"/>
      <c r="AJ72" s="19"/>
      <c r="AK72" t="s">
        <v>4</v>
      </c>
      <c r="AL72" s="20"/>
      <c r="AM72" s="20"/>
      <c r="AN72" s="20"/>
      <c r="AO72" s="19"/>
      <c r="AP72" s="19"/>
      <c r="AQ72" t="s">
        <v>4</v>
      </c>
      <c r="AR72" s="20"/>
      <c r="AS72" s="20"/>
      <c r="AT72" s="20"/>
      <c r="AU72" s="19"/>
      <c r="AV72" s="19"/>
      <c r="AW72" t="s">
        <v>4</v>
      </c>
      <c r="AX72" s="20"/>
      <c r="AY72" s="20"/>
      <c r="AZ72" s="20"/>
      <c r="BA72" s="19"/>
      <c r="BB72" s="19"/>
      <c r="BC72" s="12"/>
      <c r="BF72">
        <f t="shared" si="8"/>
        <v>0</v>
      </c>
      <c r="BG72">
        <f t="shared" si="9"/>
        <v>0</v>
      </c>
      <c r="BH72">
        <f t="shared" si="10"/>
        <v>0</v>
      </c>
      <c r="BI72">
        <f t="shared" si="11"/>
        <v>0</v>
      </c>
      <c r="BJ72" t="s">
        <v>145</v>
      </c>
      <c r="BK72">
        <f t="shared" si="12"/>
        <v>0</v>
      </c>
      <c r="BL72" t="s">
        <v>145</v>
      </c>
      <c r="BM72">
        <f t="shared" si="13"/>
        <v>0</v>
      </c>
      <c r="BN72">
        <f t="shared" si="14"/>
        <v>0</v>
      </c>
    </row>
    <row r="73" spans="1:66">
      <c r="A73" t="s">
        <v>73</v>
      </c>
      <c r="C73" s="12"/>
      <c r="D73" s="19"/>
      <c r="E73" t="s">
        <v>4</v>
      </c>
      <c r="F73" s="20"/>
      <c r="G73" s="20"/>
      <c r="H73" s="20"/>
      <c r="I73" s="19"/>
      <c r="J73" s="19"/>
      <c r="K73" t="s">
        <v>4</v>
      </c>
      <c r="L73" s="20"/>
      <c r="M73" s="20"/>
      <c r="N73" s="20"/>
      <c r="O73" s="19"/>
      <c r="P73" s="19"/>
      <c r="Q73" t="s">
        <v>4</v>
      </c>
      <c r="R73" s="20"/>
      <c r="S73" s="20"/>
      <c r="T73" s="20"/>
      <c r="U73" s="19"/>
      <c r="V73" s="19"/>
      <c r="W73" t="s">
        <v>4</v>
      </c>
      <c r="X73" s="12"/>
      <c r="Y73" s="20"/>
      <c r="Z73" s="20"/>
      <c r="AA73" s="20"/>
      <c r="AB73" s="12"/>
      <c r="AC73" s="12"/>
      <c r="AD73" s="19"/>
      <c r="AE73" s="19"/>
      <c r="AF73" t="s">
        <v>4</v>
      </c>
      <c r="AG73" s="20"/>
      <c r="AH73" s="20"/>
      <c r="AI73" s="20"/>
      <c r="AJ73" s="19"/>
      <c r="AK73" s="19"/>
      <c r="AL73" t="s">
        <v>4</v>
      </c>
      <c r="AM73" s="20"/>
      <c r="AN73" s="20"/>
      <c r="AO73" s="20"/>
      <c r="AP73" s="19"/>
      <c r="AQ73" s="19"/>
      <c r="AR73" t="s">
        <v>4</v>
      </c>
      <c r="AS73" s="20"/>
      <c r="AT73" s="20"/>
      <c r="AU73" s="20"/>
      <c r="AV73" s="19"/>
      <c r="AW73" s="19"/>
      <c r="AX73" t="s">
        <v>4</v>
      </c>
      <c r="AY73" s="20"/>
      <c r="AZ73" s="20"/>
      <c r="BA73" s="20"/>
      <c r="BB73" s="19"/>
      <c r="BC73" s="12"/>
      <c r="BF73">
        <f t="shared" si="8"/>
        <v>0</v>
      </c>
      <c r="BG73">
        <f t="shared" si="9"/>
        <v>0</v>
      </c>
      <c r="BH73">
        <f t="shared" si="10"/>
        <v>0</v>
      </c>
      <c r="BI73">
        <f t="shared" si="11"/>
        <v>0</v>
      </c>
      <c r="BJ73" t="s">
        <v>145</v>
      </c>
      <c r="BK73">
        <f t="shared" si="12"/>
        <v>0</v>
      </c>
      <c r="BL73" t="s">
        <v>145</v>
      </c>
      <c r="BM73">
        <f t="shared" si="13"/>
        <v>0</v>
      </c>
      <c r="BN73">
        <f t="shared" si="14"/>
        <v>0</v>
      </c>
    </row>
    <row r="74" spans="1:66">
      <c r="A74" t="s">
        <v>74</v>
      </c>
      <c r="C74" s="12"/>
      <c r="D74" s="20"/>
      <c r="E74" s="19"/>
      <c r="F74" t="s">
        <v>4</v>
      </c>
      <c r="G74" s="20"/>
      <c r="H74" s="20"/>
      <c r="I74" s="20"/>
      <c r="J74" s="19"/>
      <c r="K74" s="19"/>
      <c r="L74" t="s">
        <v>4</v>
      </c>
      <c r="M74" s="20"/>
      <c r="N74" s="20"/>
      <c r="O74" s="20"/>
      <c r="P74" s="19"/>
      <c r="Q74" s="19"/>
      <c r="R74" t="s">
        <v>4</v>
      </c>
      <c r="S74" s="20"/>
      <c r="T74" s="20"/>
      <c r="U74" s="20"/>
      <c r="V74" s="19"/>
      <c r="W74" s="19"/>
      <c r="X74" s="12"/>
      <c r="Y74" t="s">
        <v>4</v>
      </c>
      <c r="Z74" s="20"/>
      <c r="AA74" s="20"/>
      <c r="AB74" s="12"/>
      <c r="AC74" s="12"/>
      <c r="AD74" s="20"/>
      <c r="AE74" s="19"/>
      <c r="AF74" s="19"/>
      <c r="AG74" t="s">
        <v>4</v>
      </c>
      <c r="AH74" s="20"/>
      <c r="AI74" s="20"/>
      <c r="AJ74" s="20"/>
      <c r="AK74" s="19"/>
      <c r="AL74" s="19"/>
      <c r="AM74" t="s">
        <v>4</v>
      </c>
      <c r="AN74" s="20"/>
      <c r="AO74" s="20"/>
      <c r="AP74" s="20"/>
      <c r="AQ74" s="19"/>
      <c r="AR74" s="19"/>
      <c r="AS74" t="s">
        <v>4</v>
      </c>
      <c r="AT74" s="20"/>
      <c r="AU74" s="20"/>
      <c r="AV74" s="20"/>
      <c r="AW74" s="19"/>
      <c r="AX74" s="19"/>
      <c r="AY74" t="s">
        <v>4</v>
      </c>
      <c r="AZ74" s="20"/>
      <c r="BA74" s="20"/>
      <c r="BB74" s="20"/>
      <c r="BC74" s="12"/>
      <c r="BF74">
        <f t="shared" si="8"/>
        <v>0</v>
      </c>
      <c r="BG74">
        <f t="shared" si="9"/>
        <v>0</v>
      </c>
      <c r="BH74">
        <f t="shared" si="10"/>
        <v>0</v>
      </c>
      <c r="BI74">
        <f t="shared" si="11"/>
        <v>0</v>
      </c>
      <c r="BJ74" t="s">
        <v>145</v>
      </c>
      <c r="BK74">
        <f t="shared" si="12"/>
        <v>0</v>
      </c>
      <c r="BL74" t="s">
        <v>145</v>
      </c>
      <c r="BM74">
        <f t="shared" si="13"/>
        <v>0</v>
      </c>
      <c r="BN74">
        <f t="shared" si="14"/>
        <v>0</v>
      </c>
    </row>
    <row r="75" spans="1:66">
      <c r="A75" t="s">
        <v>75</v>
      </c>
      <c r="C75" s="12"/>
      <c r="D75" s="20"/>
      <c r="E75" s="20"/>
      <c r="F75" s="20"/>
      <c r="G75" t="s">
        <v>4</v>
      </c>
      <c r="H75" s="20"/>
      <c r="I75" s="20"/>
      <c r="J75" s="20"/>
      <c r="K75" s="19"/>
      <c r="L75" s="19"/>
      <c r="M75" t="s">
        <v>4</v>
      </c>
      <c r="N75" s="20"/>
      <c r="O75" s="20"/>
      <c r="P75" s="20"/>
      <c r="Q75" s="19"/>
      <c r="R75" s="19"/>
      <c r="S75" t="s">
        <v>4</v>
      </c>
      <c r="T75" s="20"/>
      <c r="U75" s="20"/>
      <c r="V75" s="20"/>
      <c r="W75" s="19"/>
      <c r="X75" s="12"/>
      <c r="Y75" s="19"/>
      <c r="Z75" t="s">
        <v>4</v>
      </c>
      <c r="AA75" s="20"/>
      <c r="AB75" s="12"/>
      <c r="AC75" s="12"/>
      <c r="AD75" s="20"/>
      <c r="AE75" s="20"/>
      <c r="AF75" s="19"/>
      <c r="AG75" s="19"/>
      <c r="AH75" t="s">
        <v>4</v>
      </c>
      <c r="AI75" s="20"/>
      <c r="AJ75" s="20"/>
      <c r="AK75" s="20"/>
      <c r="AL75" s="19"/>
      <c r="AM75" s="19"/>
      <c r="AN75" t="s">
        <v>4</v>
      </c>
      <c r="AO75" s="20"/>
      <c r="AP75" s="20"/>
      <c r="AQ75" s="20"/>
      <c r="AR75" s="19"/>
      <c r="AS75" s="19"/>
      <c r="AT75" t="s">
        <v>4</v>
      </c>
      <c r="AU75" s="20"/>
      <c r="AV75" s="20"/>
      <c r="AW75" s="20"/>
      <c r="AX75" s="19"/>
      <c r="AY75" s="19"/>
      <c r="AZ75" t="s">
        <v>4</v>
      </c>
      <c r="BA75" s="20"/>
      <c r="BB75" s="20"/>
      <c r="BC75" s="12"/>
      <c r="BF75">
        <f t="shared" si="8"/>
        <v>0</v>
      </c>
      <c r="BG75">
        <f t="shared" si="9"/>
        <v>0</v>
      </c>
      <c r="BH75">
        <f t="shared" si="10"/>
        <v>0</v>
      </c>
      <c r="BI75">
        <f t="shared" si="11"/>
        <v>0</v>
      </c>
      <c r="BJ75" t="s">
        <v>145</v>
      </c>
      <c r="BK75">
        <f t="shared" si="12"/>
        <v>0</v>
      </c>
      <c r="BL75" t="s">
        <v>145</v>
      </c>
      <c r="BM75">
        <f t="shared" si="13"/>
        <v>0</v>
      </c>
      <c r="BN75">
        <f t="shared" si="14"/>
        <v>0</v>
      </c>
    </row>
    <row r="76" spans="1:66">
      <c r="A76" t="s">
        <v>76</v>
      </c>
      <c r="C76" s="12"/>
      <c r="D76" s="20"/>
      <c r="E76" s="20"/>
      <c r="F76" s="19"/>
      <c r="G76" s="19"/>
      <c r="H76" t="s">
        <v>4</v>
      </c>
      <c r="I76" s="20"/>
      <c r="J76" s="20"/>
      <c r="K76" s="20"/>
      <c r="L76" s="19"/>
      <c r="M76" s="19"/>
      <c r="N76" t="s">
        <v>4</v>
      </c>
      <c r="O76" s="20"/>
      <c r="P76" s="20"/>
      <c r="Q76" s="20"/>
      <c r="R76" s="19"/>
      <c r="S76" s="19"/>
      <c r="T76" t="s">
        <v>4</v>
      </c>
      <c r="U76" s="20"/>
      <c r="V76" s="20"/>
      <c r="W76" s="20"/>
      <c r="X76" s="12"/>
      <c r="Y76" s="19"/>
      <c r="Z76" s="19"/>
      <c r="AA76" t="s">
        <v>4</v>
      </c>
      <c r="AB76" s="12"/>
      <c r="AC76" s="12"/>
      <c r="AD76" s="20"/>
      <c r="AE76" s="20"/>
      <c r="AF76" s="20"/>
      <c r="AG76" s="19"/>
      <c r="AH76" s="19"/>
      <c r="AI76" t="s">
        <v>4</v>
      </c>
      <c r="AJ76" s="20"/>
      <c r="AK76" s="20"/>
      <c r="AL76" s="20"/>
      <c r="AM76" s="19"/>
      <c r="AN76" s="19"/>
      <c r="AO76" t="s">
        <v>4</v>
      </c>
      <c r="AP76" s="20"/>
      <c r="AQ76" s="20"/>
      <c r="AR76" s="20"/>
      <c r="AS76" s="19"/>
      <c r="AT76" s="19"/>
      <c r="AU76" t="s">
        <v>4</v>
      </c>
      <c r="AV76" s="20"/>
      <c r="AW76" s="20"/>
      <c r="AX76" s="20"/>
      <c r="AY76" s="19"/>
      <c r="AZ76" s="19"/>
      <c r="BA76" t="s">
        <v>4</v>
      </c>
      <c r="BB76" s="20"/>
      <c r="BC76" s="12"/>
      <c r="BF76">
        <f t="shared" si="8"/>
        <v>0</v>
      </c>
      <c r="BG76">
        <f t="shared" si="9"/>
        <v>0</v>
      </c>
      <c r="BH76">
        <f t="shared" si="10"/>
        <v>0</v>
      </c>
      <c r="BI76">
        <f t="shared" si="11"/>
        <v>0</v>
      </c>
      <c r="BJ76" t="s">
        <v>145</v>
      </c>
      <c r="BK76">
        <f t="shared" si="12"/>
        <v>0</v>
      </c>
      <c r="BL76" t="s">
        <v>145</v>
      </c>
      <c r="BM76">
        <f t="shared" si="13"/>
        <v>0</v>
      </c>
      <c r="BN76">
        <f t="shared" si="14"/>
        <v>0</v>
      </c>
    </row>
    <row r="77" spans="1:66">
      <c r="A77" t="s">
        <v>77</v>
      </c>
      <c r="C77" s="12"/>
      <c r="D77" s="20"/>
      <c r="E77" s="20"/>
      <c r="F77" s="20"/>
      <c r="G77" s="19"/>
      <c r="H77" s="19"/>
      <c r="I77" t="s">
        <v>4</v>
      </c>
      <c r="J77" s="20"/>
      <c r="K77" s="20"/>
      <c r="L77" s="20"/>
      <c r="M77" s="19"/>
      <c r="N77" s="19"/>
      <c r="O77" t="s">
        <v>4</v>
      </c>
      <c r="P77" s="20"/>
      <c r="Q77" s="20"/>
      <c r="R77" s="20"/>
      <c r="S77" s="19"/>
      <c r="T77" s="19"/>
      <c r="U77" t="s">
        <v>4</v>
      </c>
      <c r="V77" s="20"/>
      <c r="W77" s="20"/>
      <c r="X77" s="12"/>
      <c r="Y77" s="20"/>
      <c r="Z77" s="19"/>
      <c r="AA77" s="19"/>
      <c r="AB77" s="12"/>
      <c r="AC77" s="12"/>
      <c r="AD77" t="s">
        <v>4</v>
      </c>
      <c r="AE77" s="20"/>
      <c r="AF77" s="20"/>
      <c r="AG77" s="20"/>
      <c r="AH77" s="19"/>
      <c r="AI77" s="19"/>
      <c r="AJ77" t="s">
        <v>4</v>
      </c>
      <c r="AK77" s="20"/>
      <c r="AL77" s="20"/>
      <c r="AM77" s="20"/>
      <c r="AN77" s="19"/>
      <c r="AO77" s="19"/>
      <c r="AP77" t="s">
        <v>4</v>
      </c>
      <c r="AQ77" s="20"/>
      <c r="AR77" s="20"/>
      <c r="AS77" s="20"/>
      <c r="AT77" s="19"/>
      <c r="AU77" s="19"/>
      <c r="AV77" t="s">
        <v>4</v>
      </c>
      <c r="AW77" s="20"/>
      <c r="AX77" s="20"/>
      <c r="AY77" s="20"/>
      <c r="AZ77" s="19"/>
      <c r="BA77" s="19"/>
      <c r="BB77" t="s">
        <v>4</v>
      </c>
      <c r="BC77" s="12"/>
      <c r="BF77">
        <f t="shared" si="8"/>
        <v>0</v>
      </c>
      <c r="BG77">
        <f t="shared" si="9"/>
        <v>0</v>
      </c>
      <c r="BH77">
        <f t="shared" si="10"/>
        <v>0</v>
      </c>
      <c r="BI77">
        <f t="shared" si="11"/>
        <v>0</v>
      </c>
      <c r="BJ77" t="s">
        <v>145</v>
      </c>
      <c r="BK77">
        <f t="shared" si="12"/>
        <v>0</v>
      </c>
      <c r="BL77" t="s">
        <v>145</v>
      </c>
      <c r="BM77">
        <f t="shared" si="13"/>
        <v>0</v>
      </c>
      <c r="BN77">
        <f t="shared" si="14"/>
        <v>0</v>
      </c>
    </row>
    <row r="78" spans="1:66">
      <c r="A78" t="s">
        <v>78</v>
      </c>
      <c r="C78" s="12"/>
      <c r="D78" t="s">
        <v>4</v>
      </c>
      <c r="E78" s="20"/>
      <c r="F78" s="20"/>
      <c r="G78" s="20"/>
      <c r="H78" s="19"/>
      <c r="I78" s="19"/>
      <c r="J78" t="s">
        <v>4</v>
      </c>
      <c r="K78" s="20"/>
      <c r="L78" s="20"/>
      <c r="M78" s="20"/>
      <c r="N78" s="19"/>
      <c r="O78" s="19"/>
      <c r="P78" t="s">
        <v>4</v>
      </c>
      <c r="Q78" s="20"/>
      <c r="R78" s="20"/>
      <c r="S78" s="20"/>
      <c r="T78" s="19"/>
      <c r="U78" s="19"/>
      <c r="V78" t="s">
        <v>4</v>
      </c>
      <c r="W78" s="20"/>
      <c r="X78" s="12"/>
      <c r="Y78" s="20"/>
      <c r="Z78" s="20"/>
      <c r="AA78" s="19"/>
      <c r="AB78" s="12"/>
      <c r="AC78" s="12"/>
      <c r="AD78" s="19"/>
      <c r="AE78" t="s">
        <v>4</v>
      </c>
      <c r="AF78" s="20"/>
      <c r="AG78" s="20"/>
      <c r="AH78" s="20"/>
      <c r="AI78" s="19"/>
      <c r="AJ78" s="19"/>
      <c r="AK78" t="s">
        <v>4</v>
      </c>
      <c r="AL78" s="20"/>
      <c r="AM78" s="20"/>
      <c r="AN78" s="20"/>
      <c r="AO78" s="19"/>
      <c r="AP78" s="19"/>
      <c r="AQ78" t="s">
        <v>4</v>
      </c>
      <c r="AR78" s="20"/>
      <c r="AS78" s="20"/>
      <c r="AT78" s="20"/>
      <c r="AU78" s="19"/>
      <c r="AV78" s="19"/>
      <c r="AW78" t="s">
        <v>4</v>
      </c>
      <c r="AX78" s="20"/>
      <c r="AY78" s="20"/>
      <c r="AZ78" s="20"/>
      <c r="BA78" s="19"/>
      <c r="BB78" s="19"/>
      <c r="BC78" s="12"/>
      <c r="BF78">
        <f t="shared" si="8"/>
        <v>0</v>
      </c>
      <c r="BG78">
        <f t="shared" si="9"/>
        <v>0</v>
      </c>
      <c r="BH78">
        <f t="shared" si="10"/>
        <v>0</v>
      </c>
      <c r="BI78">
        <f t="shared" si="11"/>
        <v>0</v>
      </c>
      <c r="BJ78" t="s">
        <v>145</v>
      </c>
      <c r="BK78">
        <f t="shared" si="12"/>
        <v>0</v>
      </c>
      <c r="BL78" t="s">
        <v>145</v>
      </c>
      <c r="BM78">
        <f t="shared" si="13"/>
        <v>0</v>
      </c>
      <c r="BN78">
        <f t="shared" si="14"/>
        <v>0</v>
      </c>
    </row>
    <row r="79" spans="1:66">
      <c r="A79" t="s">
        <v>79</v>
      </c>
      <c r="C79" s="12"/>
      <c r="D79" s="19"/>
      <c r="E79" t="s">
        <v>4</v>
      </c>
      <c r="F79" s="20"/>
      <c r="G79" s="20"/>
      <c r="H79" s="20"/>
      <c r="I79" s="19"/>
      <c r="J79" s="19"/>
      <c r="K79" t="s">
        <v>4</v>
      </c>
      <c r="L79" s="20"/>
      <c r="M79" s="20"/>
      <c r="N79" s="20"/>
      <c r="O79" s="19"/>
      <c r="P79" s="19"/>
      <c r="Q79" t="s">
        <v>4</v>
      </c>
      <c r="R79" s="20"/>
      <c r="S79" s="20"/>
      <c r="T79" s="20"/>
      <c r="U79" s="19"/>
      <c r="V79" s="19"/>
      <c r="W79" t="s">
        <v>4</v>
      </c>
      <c r="X79" s="12"/>
      <c r="Y79" s="20"/>
      <c r="Z79" s="20"/>
      <c r="AA79" s="20"/>
      <c r="AB79" s="12"/>
      <c r="AC79" s="12"/>
      <c r="AD79" s="19"/>
      <c r="AE79" s="19"/>
      <c r="AF79" t="s">
        <v>4</v>
      </c>
      <c r="AG79" s="20"/>
      <c r="AH79" s="20"/>
      <c r="AI79" s="20"/>
      <c r="AJ79" s="19"/>
      <c r="AK79" s="19"/>
      <c r="AL79" t="s">
        <v>4</v>
      </c>
      <c r="AM79" s="20"/>
      <c r="AN79" s="20"/>
      <c r="AO79" s="20"/>
      <c r="AP79" s="19"/>
      <c r="AQ79" s="19"/>
      <c r="AR79" t="s">
        <v>4</v>
      </c>
      <c r="AS79" s="20"/>
      <c r="AT79" s="20"/>
      <c r="AU79" s="20"/>
      <c r="AV79" s="19"/>
      <c r="AW79" s="19"/>
      <c r="AX79" t="s">
        <v>4</v>
      </c>
      <c r="AY79" s="20"/>
      <c r="AZ79" s="20"/>
      <c r="BA79" s="20"/>
      <c r="BB79" s="19"/>
      <c r="BC79" s="12"/>
      <c r="BF79">
        <f t="shared" si="8"/>
        <v>0</v>
      </c>
      <c r="BG79">
        <f t="shared" si="9"/>
        <v>0</v>
      </c>
      <c r="BH79">
        <f t="shared" si="10"/>
        <v>0</v>
      </c>
      <c r="BI79">
        <f t="shared" si="11"/>
        <v>0</v>
      </c>
      <c r="BJ79" t="s">
        <v>145</v>
      </c>
      <c r="BK79">
        <f t="shared" si="12"/>
        <v>0</v>
      </c>
      <c r="BL79" t="s">
        <v>145</v>
      </c>
      <c r="BM79">
        <f t="shared" si="13"/>
        <v>0</v>
      </c>
      <c r="BN79">
        <f t="shared" si="14"/>
        <v>0</v>
      </c>
    </row>
    <row r="80" spans="1:66">
      <c r="A80" t="s">
        <v>80</v>
      </c>
      <c r="C80" s="12"/>
      <c r="D80" s="20"/>
      <c r="E80" s="19"/>
      <c r="F80" t="s">
        <v>4</v>
      </c>
      <c r="G80" s="20"/>
      <c r="H80" s="20"/>
      <c r="I80" s="20"/>
      <c r="J80" s="19"/>
      <c r="K80" s="19"/>
      <c r="L80" t="s">
        <v>4</v>
      </c>
      <c r="M80" s="20"/>
      <c r="N80" s="20"/>
      <c r="O80" s="20"/>
      <c r="P80" s="19"/>
      <c r="Q80" s="19"/>
      <c r="R80" t="s">
        <v>4</v>
      </c>
      <c r="S80" s="20"/>
      <c r="T80" s="20"/>
      <c r="U80" s="20"/>
      <c r="V80" s="19"/>
      <c r="W80" s="19"/>
      <c r="X80" s="12"/>
      <c r="Y80" t="s">
        <v>4</v>
      </c>
      <c r="Z80" s="20"/>
      <c r="AA80" s="20"/>
      <c r="AB80" s="12"/>
      <c r="AC80" s="12"/>
      <c r="AD80" s="20"/>
      <c r="AE80" s="19"/>
      <c r="AF80" s="19"/>
      <c r="AG80" t="s">
        <v>4</v>
      </c>
      <c r="AH80" s="20"/>
      <c r="AI80" s="20"/>
      <c r="AJ80" s="20"/>
      <c r="AK80" s="19"/>
      <c r="AL80" s="19"/>
      <c r="AM80" t="s">
        <v>4</v>
      </c>
      <c r="AN80" s="20"/>
      <c r="AO80" s="20"/>
      <c r="AP80" s="20"/>
      <c r="AQ80" s="19"/>
      <c r="AR80" s="19"/>
      <c r="AS80" t="s">
        <v>4</v>
      </c>
      <c r="AT80" s="20"/>
      <c r="AU80" s="20"/>
      <c r="AV80" s="20"/>
      <c r="AW80" s="19"/>
      <c r="AX80" s="19"/>
      <c r="AY80" t="s">
        <v>4</v>
      </c>
      <c r="AZ80" s="20"/>
      <c r="BA80" s="20"/>
      <c r="BB80" s="20"/>
      <c r="BC80" s="12"/>
      <c r="BF80">
        <f t="shared" si="8"/>
        <v>0</v>
      </c>
      <c r="BG80">
        <f t="shared" si="9"/>
        <v>0</v>
      </c>
      <c r="BH80">
        <f t="shared" si="10"/>
        <v>0</v>
      </c>
      <c r="BI80">
        <f t="shared" si="11"/>
        <v>0</v>
      </c>
      <c r="BJ80" t="s">
        <v>145</v>
      </c>
      <c r="BK80">
        <f t="shared" si="12"/>
        <v>0</v>
      </c>
      <c r="BL80" t="s">
        <v>145</v>
      </c>
      <c r="BM80">
        <f t="shared" si="13"/>
        <v>0</v>
      </c>
      <c r="BN80">
        <f t="shared" si="14"/>
        <v>0</v>
      </c>
    </row>
    <row r="81" spans="1:66">
      <c r="A81" t="s">
        <v>81</v>
      </c>
      <c r="C81" s="12"/>
      <c r="D81" s="20"/>
      <c r="E81" s="20"/>
      <c r="F81" s="20"/>
      <c r="G81" t="s">
        <v>4</v>
      </c>
      <c r="H81" s="20"/>
      <c r="I81" s="20"/>
      <c r="J81" s="20"/>
      <c r="K81" s="19"/>
      <c r="L81" s="19"/>
      <c r="M81" t="s">
        <v>4</v>
      </c>
      <c r="N81" s="20"/>
      <c r="O81" s="20"/>
      <c r="P81" s="20"/>
      <c r="Q81" s="19"/>
      <c r="R81" s="19"/>
      <c r="S81" t="s">
        <v>4</v>
      </c>
      <c r="T81" s="20"/>
      <c r="U81" s="20"/>
      <c r="V81" s="20"/>
      <c r="W81" s="19"/>
      <c r="X81" s="12"/>
      <c r="Y81" s="19"/>
      <c r="Z81" t="s">
        <v>4</v>
      </c>
      <c r="AA81" s="20"/>
      <c r="AB81" s="12"/>
      <c r="AC81" s="12"/>
      <c r="AD81" s="20"/>
      <c r="AE81" s="20"/>
      <c r="AF81" s="19"/>
      <c r="AG81" s="19"/>
      <c r="AH81" t="s">
        <v>4</v>
      </c>
      <c r="AI81" s="20"/>
      <c r="AJ81" s="20"/>
      <c r="AK81" s="20"/>
      <c r="AL81" s="19"/>
      <c r="AM81" s="19"/>
      <c r="AN81" t="s">
        <v>4</v>
      </c>
      <c r="AO81" s="20"/>
      <c r="AP81" s="20"/>
      <c r="AQ81" s="20"/>
      <c r="AR81" s="19"/>
      <c r="AS81" s="19"/>
      <c r="AT81" t="s">
        <v>4</v>
      </c>
      <c r="AU81" s="20"/>
      <c r="AV81" s="20"/>
      <c r="AW81" s="20"/>
      <c r="AX81" s="19"/>
      <c r="AY81" s="19"/>
      <c r="AZ81" t="s">
        <v>4</v>
      </c>
      <c r="BA81" s="20"/>
      <c r="BB81" s="20"/>
      <c r="BC81" s="12"/>
      <c r="BF81">
        <f t="shared" si="8"/>
        <v>0</v>
      </c>
      <c r="BG81">
        <f t="shared" si="9"/>
        <v>0</v>
      </c>
      <c r="BH81">
        <f t="shared" si="10"/>
        <v>0</v>
      </c>
      <c r="BI81">
        <f t="shared" si="11"/>
        <v>0</v>
      </c>
      <c r="BJ81" t="s">
        <v>145</v>
      </c>
      <c r="BK81">
        <f t="shared" si="12"/>
        <v>0</v>
      </c>
      <c r="BL81" t="s">
        <v>145</v>
      </c>
      <c r="BM81">
        <f t="shared" si="13"/>
        <v>0</v>
      </c>
      <c r="BN81">
        <f t="shared" si="14"/>
        <v>0</v>
      </c>
    </row>
    <row r="82" spans="1:66">
      <c r="A82" t="s">
        <v>82</v>
      </c>
      <c r="C82" s="12"/>
      <c r="D82" s="20"/>
      <c r="E82" s="20"/>
      <c r="F82" s="19"/>
      <c r="G82" s="19"/>
      <c r="H82" t="s">
        <v>4</v>
      </c>
      <c r="I82" s="20"/>
      <c r="J82" s="20"/>
      <c r="K82" s="20"/>
      <c r="L82" s="19"/>
      <c r="M82" s="19"/>
      <c r="N82" t="s">
        <v>4</v>
      </c>
      <c r="O82" s="20"/>
      <c r="P82" s="20"/>
      <c r="Q82" s="20"/>
      <c r="R82" s="19"/>
      <c r="S82" s="19"/>
      <c r="T82" t="s">
        <v>4</v>
      </c>
      <c r="U82" s="20"/>
      <c r="V82" s="20"/>
      <c r="W82" s="20"/>
      <c r="X82" s="12"/>
      <c r="Y82" s="19"/>
      <c r="Z82" s="19"/>
      <c r="AA82" t="s">
        <v>4</v>
      </c>
      <c r="AB82" s="12"/>
      <c r="AC82" s="12"/>
      <c r="AD82" s="20"/>
      <c r="AE82" s="20"/>
      <c r="AF82" s="20"/>
      <c r="AG82" s="19"/>
      <c r="AH82" s="19"/>
      <c r="AI82" t="s">
        <v>4</v>
      </c>
      <c r="AJ82" s="20"/>
      <c r="AK82" s="20"/>
      <c r="AL82" s="20"/>
      <c r="AM82" s="19"/>
      <c r="AN82" s="19"/>
      <c r="AO82" t="s">
        <v>4</v>
      </c>
      <c r="AP82" s="20"/>
      <c r="AQ82" s="20"/>
      <c r="AR82" s="20"/>
      <c r="AS82" s="19"/>
      <c r="AT82" s="19"/>
      <c r="AU82" t="s">
        <v>4</v>
      </c>
      <c r="AV82" s="20"/>
      <c r="AW82" s="20"/>
      <c r="AX82" s="20"/>
      <c r="AY82" s="19"/>
      <c r="AZ82" s="19"/>
      <c r="BA82" t="s">
        <v>4</v>
      </c>
      <c r="BB82" s="20"/>
      <c r="BC82" s="12"/>
      <c r="BF82">
        <f t="shared" si="8"/>
        <v>0</v>
      </c>
      <c r="BG82">
        <f t="shared" si="9"/>
        <v>0</v>
      </c>
      <c r="BH82">
        <f t="shared" si="10"/>
        <v>0</v>
      </c>
      <c r="BI82">
        <f t="shared" si="11"/>
        <v>0</v>
      </c>
      <c r="BJ82" t="s">
        <v>145</v>
      </c>
      <c r="BK82">
        <f t="shared" si="12"/>
        <v>0</v>
      </c>
      <c r="BL82" t="s">
        <v>145</v>
      </c>
      <c r="BM82">
        <f t="shared" si="13"/>
        <v>0</v>
      </c>
      <c r="BN82">
        <f t="shared" si="14"/>
        <v>0</v>
      </c>
    </row>
    <row r="83" spans="1:66">
      <c r="A83" t="s">
        <v>83</v>
      </c>
      <c r="C83" s="12"/>
      <c r="D83" s="20"/>
      <c r="E83" s="20"/>
      <c r="F83" s="20"/>
      <c r="G83" s="19"/>
      <c r="H83" s="19"/>
      <c r="I83" t="s">
        <v>4</v>
      </c>
      <c r="J83" s="20"/>
      <c r="K83" s="20"/>
      <c r="L83" s="20"/>
      <c r="M83" s="19"/>
      <c r="N83" s="19"/>
      <c r="O83" t="s">
        <v>4</v>
      </c>
      <c r="P83" s="20"/>
      <c r="Q83" s="20"/>
      <c r="R83" s="20"/>
      <c r="S83" s="19"/>
      <c r="T83" s="19"/>
      <c r="U83" t="s">
        <v>4</v>
      </c>
      <c r="V83" s="20"/>
      <c r="W83" s="20"/>
      <c r="X83" s="12"/>
      <c r="Y83" s="20"/>
      <c r="Z83" s="19"/>
      <c r="AA83" s="19"/>
      <c r="AB83" s="12"/>
      <c r="AC83" s="12"/>
      <c r="AD83" t="s">
        <v>4</v>
      </c>
      <c r="AE83" s="20"/>
      <c r="AF83" s="20"/>
      <c r="AG83" s="20"/>
      <c r="AH83" s="19"/>
      <c r="AI83" s="19"/>
      <c r="AJ83" t="s">
        <v>4</v>
      </c>
      <c r="AK83" s="20"/>
      <c r="AL83" s="20"/>
      <c r="AM83" s="20"/>
      <c r="AN83" s="19"/>
      <c r="AO83" s="19"/>
      <c r="AP83" t="s">
        <v>4</v>
      </c>
      <c r="AQ83" s="20"/>
      <c r="AR83" s="20"/>
      <c r="AS83" s="20"/>
      <c r="AT83" s="19"/>
      <c r="AU83" s="19"/>
      <c r="AV83" t="s">
        <v>4</v>
      </c>
      <c r="AW83" s="20"/>
      <c r="AX83" s="20"/>
      <c r="AY83" s="20"/>
      <c r="AZ83" s="19"/>
      <c r="BA83" s="19"/>
      <c r="BB83" t="s">
        <v>4</v>
      </c>
      <c r="BC83" s="12"/>
      <c r="BF83">
        <f t="shared" si="8"/>
        <v>0</v>
      </c>
      <c r="BG83">
        <f t="shared" si="9"/>
        <v>0</v>
      </c>
      <c r="BH83">
        <f t="shared" si="10"/>
        <v>0</v>
      </c>
      <c r="BI83">
        <f t="shared" si="11"/>
        <v>0</v>
      </c>
      <c r="BJ83" t="s">
        <v>145</v>
      </c>
      <c r="BK83">
        <f t="shared" si="12"/>
        <v>0</v>
      </c>
      <c r="BL83" t="s">
        <v>145</v>
      </c>
      <c r="BM83">
        <f t="shared" si="13"/>
        <v>0</v>
      </c>
      <c r="BN83">
        <f t="shared" si="14"/>
        <v>0</v>
      </c>
    </row>
    <row r="84" spans="1:66">
      <c r="A84" t="s">
        <v>84</v>
      </c>
      <c r="C84" s="12"/>
      <c r="D84" t="s">
        <v>4</v>
      </c>
      <c r="E84" s="20"/>
      <c r="F84" s="20"/>
      <c r="G84" s="20"/>
      <c r="H84" s="19"/>
      <c r="I84" s="19"/>
      <c r="J84" t="s">
        <v>4</v>
      </c>
      <c r="K84" s="20"/>
      <c r="L84" s="20"/>
      <c r="M84" s="20"/>
      <c r="N84" s="19"/>
      <c r="O84" s="19"/>
      <c r="P84" t="s">
        <v>4</v>
      </c>
      <c r="Q84" s="20"/>
      <c r="R84" s="20"/>
      <c r="S84" s="20"/>
      <c r="T84" s="19"/>
      <c r="U84" s="19"/>
      <c r="V84" t="s">
        <v>4</v>
      </c>
      <c r="W84" s="20"/>
      <c r="X84" s="12"/>
      <c r="Y84" s="20"/>
      <c r="Z84" s="20"/>
      <c r="AA84" s="19"/>
      <c r="AB84" s="12"/>
      <c r="AC84" s="12"/>
      <c r="AD84" s="19"/>
      <c r="AE84" t="s">
        <v>4</v>
      </c>
      <c r="AF84" s="20"/>
      <c r="AG84" s="20"/>
      <c r="AH84" s="20"/>
      <c r="AI84" s="19"/>
      <c r="AJ84" s="19"/>
      <c r="AK84" t="s">
        <v>4</v>
      </c>
      <c r="AL84" s="20"/>
      <c r="AM84" s="20"/>
      <c r="AN84" s="20"/>
      <c r="AO84" s="19"/>
      <c r="AP84" s="19"/>
      <c r="AQ84" t="s">
        <v>4</v>
      </c>
      <c r="AR84" s="20"/>
      <c r="AS84" s="20"/>
      <c r="AT84" s="20"/>
      <c r="AU84" s="19"/>
      <c r="AV84" s="19"/>
      <c r="AW84" t="s">
        <v>4</v>
      </c>
      <c r="AX84" s="20"/>
      <c r="AY84" s="20"/>
      <c r="AZ84" s="20"/>
      <c r="BA84" s="19"/>
      <c r="BB84" s="19"/>
      <c r="BC84" s="12"/>
      <c r="BF84">
        <f t="shared" si="8"/>
        <v>0</v>
      </c>
      <c r="BG84">
        <f t="shared" si="9"/>
        <v>0</v>
      </c>
      <c r="BH84">
        <f t="shared" si="10"/>
        <v>0</v>
      </c>
      <c r="BI84">
        <f t="shared" si="11"/>
        <v>0</v>
      </c>
      <c r="BJ84" t="s">
        <v>145</v>
      </c>
      <c r="BK84">
        <f t="shared" si="12"/>
        <v>0</v>
      </c>
      <c r="BL84" t="s">
        <v>145</v>
      </c>
      <c r="BM84">
        <f t="shared" si="13"/>
        <v>0</v>
      </c>
      <c r="BN84">
        <f t="shared" si="14"/>
        <v>0</v>
      </c>
    </row>
    <row r="85" spans="1:66">
      <c r="A85" t="s">
        <v>85</v>
      </c>
      <c r="C85" s="12"/>
      <c r="D85" s="19"/>
      <c r="E85" t="s">
        <v>4</v>
      </c>
      <c r="F85" s="20"/>
      <c r="G85" s="20"/>
      <c r="H85" s="20"/>
      <c r="I85" s="19"/>
      <c r="J85" s="19"/>
      <c r="K85" t="s">
        <v>4</v>
      </c>
      <c r="L85" s="20"/>
      <c r="M85" s="20"/>
      <c r="N85" s="20"/>
      <c r="O85" s="19"/>
      <c r="P85" s="19"/>
      <c r="Q85" t="s">
        <v>4</v>
      </c>
      <c r="R85" s="20"/>
      <c r="S85" s="20"/>
      <c r="T85" s="20"/>
      <c r="U85" s="19"/>
      <c r="V85" s="19"/>
      <c r="W85" t="s">
        <v>4</v>
      </c>
      <c r="X85" s="12"/>
      <c r="Y85" s="20"/>
      <c r="Z85" s="20"/>
      <c r="AA85" s="20"/>
      <c r="AB85" s="12"/>
      <c r="AC85" s="12"/>
      <c r="AD85" s="19"/>
      <c r="AE85" s="19"/>
      <c r="AF85" t="s">
        <v>4</v>
      </c>
      <c r="AG85" s="20"/>
      <c r="AH85" s="20"/>
      <c r="AI85" s="20"/>
      <c r="AJ85" s="19"/>
      <c r="AK85" s="19"/>
      <c r="AL85" t="s">
        <v>4</v>
      </c>
      <c r="AM85" s="20"/>
      <c r="AN85" s="20"/>
      <c r="AO85" s="20"/>
      <c r="AP85" s="19"/>
      <c r="AQ85" s="19"/>
      <c r="AR85" t="s">
        <v>4</v>
      </c>
      <c r="AS85" s="20"/>
      <c r="AT85" s="20"/>
      <c r="AU85" s="20"/>
      <c r="AV85" s="19"/>
      <c r="AW85" s="19"/>
      <c r="AX85" t="s">
        <v>4</v>
      </c>
      <c r="AY85" s="20"/>
      <c r="AZ85" s="20"/>
      <c r="BA85" s="20"/>
      <c r="BB85" s="19"/>
      <c r="BC85" s="12"/>
      <c r="BF85">
        <f t="shared" si="8"/>
        <v>0</v>
      </c>
      <c r="BG85">
        <f t="shared" si="9"/>
        <v>0</v>
      </c>
      <c r="BH85">
        <f t="shared" si="10"/>
        <v>0</v>
      </c>
      <c r="BI85">
        <f t="shared" si="11"/>
        <v>0</v>
      </c>
      <c r="BJ85" t="s">
        <v>145</v>
      </c>
      <c r="BK85">
        <f t="shared" si="12"/>
        <v>0</v>
      </c>
      <c r="BL85" t="s">
        <v>145</v>
      </c>
      <c r="BM85">
        <f t="shared" si="13"/>
        <v>0</v>
      </c>
      <c r="BN85">
        <f t="shared" si="14"/>
        <v>0</v>
      </c>
    </row>
    <row r="86" spans="1:66">
      <c r="A86" t="s">
        <v>209</v>
      </c>
      <c r="C86" s="12"/>
      <c r="D86" s="20"/>
      <c r="E86" s="19"/>
      <c r="F86" t="s">
        <v>4</v>
      </c>
      <c r="G86" s="20"/>
      <c r="H86" s="20"/>
      <c r="I86" s="20"/>
      <c r="J86" s="19"/>
      <c r="K86" s="19"/>
      <c r="L86" t="s">
        <v>4</v>
      </c>
      <c r="M86" s="20"/>
      <c r="N86" s="20"/>
      <c r="O86" s="20"/>
      <c r="P86" s="19"/>
      <c r="Q86" s="19"/>
      <c r="R86" t="s">
        <v>4</v>
      </c>
      <c r="S86" s="20"/>
      <c r="T86" s="20"/>
      <c r="U86" s="20"/>
      <c r="V86" s="19"/>
      <c r="W86" s="19"/>
      <c r="X86" s="12"/>
      <c r="Y86" t="s">
        <v>4</v>
      </c>
      <c r="Z86" s="20"/>
      <c r="AA86" s="20"/>
      <c r="AB86" s="12"/>
      <c r="AC86" s="12"/>
      <c r="AD86" s="20"/>
      <c r="AE86" s="19"/>
      <c r="AF86" s="19"/>
      <c r="AG86" t="s">
        <v>4</v>
      </c>
      <c r="AH86" s="20"/>
      <c r="AI86" s="20"/>
      <c r="AJ86" s="20"/>
      <c r="AK86" s="19"/>
      <c r="AL86" s="19"/>
      <c r="AM86" t="s">
        <v>4</v>
      </c>
      <c r="AN86" s="20"/>
      <c r="AO86" s="20"/>
      <c r="AP86" s="20"/>
      <c r="AQ86" s="19"/>
      <c r="AR86" s="19"/>
      <c r="AS86" t="s">
        <v>4</v>
      </c>
      <c r="AT86" s="20"/>
      <c r="AU86" s="20"/>
      <c r="AV86" s="20"/>
      <c r="AW86" s="19"/>
      <c r="AX86" s="19"/>
      <c r="AY86" t="s">
        <v>4</v>
      </c>
      <c r="AZ86" s="20"/>
      <c r="BA86" s="20"/>
      <c r="BB86" s="20"/>
      <c r="BC86" s="12"/>
      <c r="BF86">
        <f t="shared" si="8"/>
        <v>0</v>
      </c>
      <c r="BG86">
        <f t="shared" si="9"/>
        <v>0</v>
      </c>
      <c r="BH86">
        <f t="shared" si="10"/>
        <v>0</v>
      </c>
      <c r="BI86">
        <f t="shared" si="11"/>
        <v>0</v>
      </c>
      <c r="BJ86" t="s">
        <v>145</v>
      </c>
      <c r="BK86">
        <f t="shared" si="12"/>
        <v>0</v>
      </c>
      <c r="BL86" t="s">
        <v>145</v>
      </c>
      <c r="BM86">
        <f t="shared" si="13"/>
        <v>0</v>
      </c>
      <c r="BN86">
        <f t="shared" si="14"/>
        <v>0</v>
      </c>
    </row>
    <row r="87" spans="1:66">
      <c r="A87" t="s">
        <v>210</v>
      </c>
      <c r="C87" s="12"/>
      <c r="D87" s="20"/>
      <c r="E87" s="20"/>
      <c r="F87" s="20"/>
      <c r="G87" t="s">
        <v>4</v>
      </c>
      <c r="H87" s="20"/>
      <c r="I87" s="20"/>
      <c r="J87" s="20"/>
      <c r="K87" s="19"/>
      <c r="L87" s="19"/>
      <c r="M87" t="s">
        <v>4</v>
      </c>
      <c r="N87" s="20"/>
      <c r="O87" s="20"/>
      <c r="P87" s="20"/>
      <c r="Q87" s="19"/>
      <c r="R87" s="19"/>
      <c r="S87" t="s">
        <v>4</v>
      </c>
      <c r="T87" s="20"/>
      <c r="U87" s="20"/>
      <c r="V87" s="20"/>
      <c r="W87" s="19"/>
      <c r="X87" s="12"/>
      <c r="Y87" s="19"/>
      <c r="Z87" t="s">
        <v>4</v>
      </c>
      <c r="AA87" s="20"/>
      <c r="AB87" s="12"/>
      <c r="AC87" s="12"/>
      <c r="AD87" s="20"/>
      <c r="AE87" s="20"/>
      <c r="AF87" s="19"/>
      <c r="AG87" s="19"/>
      <c r="AH87" t="s">
        <v>4</v>
      </c>
      <c r="AI87" s="20"/>
      <c r="AJ87" s="20"/>
      <c r="AK87" s="20"/>
      <c r="AL87" s="19"/>
      <c r="AM87" s="19"/>
      <c r="AN87" t="s">
        <v>4</v>
      </c>
      <c r="AO87" s="20"/>
      <c r="AP87" s="20"/>
      <c r="AQ87" s="20"/>
      <c r="AR87" s="19"/>
      <c r="AS87" s="19"/>
      <c r="AT87" t="s">
        <v>4</v>
      </c>
      <c r="AU87" s="20"/>
      <c r="AV87" s="20"/>
      <c r="AW87" s="20"/>
      <c r="AX87" s="19"/>
      <c r="AY87" s="19"/>
      <c r="AZ87" t="s">
        <v>4</v>
      </c>
      <c r="BA87" s="20"/>
      <c r="BB87" s="20"/>
      <c r="BC87" s="12"/>
      <c r="BF87">
        <f t="shared" si="8"/>
        <v>0</v>
      </c>
      <c r="BG87">
        <f t="shared" si="9"/>
        <v>0</v>
      </c>
      <c r="BH87">
        <f t="shared" si="10"/>
        <v>0</v>
      </c>
      <c r="BI87">
        <f t="shared" si="11"/>
        <v>0</v>
      </c>
      <c r="BJ87" t="s">
        <v>145</v>
      </c>
      <c r="BK87">
        <f t="shared" si="12"/>
        <v>0</v>
      </c>
      <c r="BL87" t="s">
        <v>145</v>
      </c>
      <c r="BM87">
        <f t="shared" si="13"/>
        <v>0</v>
      </c>
      <c r="BN87">
        <f t="shared" si="14"/>
        <v>0</v>
      </c>
    </row>
    <row r="88" spans="1:66">
      <c r="A88" t="s">
        <v>211</v>
      </c>
      <c r="C88" s="12"/>
      <c r="D88" s="20"/>
      <c r="E88" s="20"/>
      <c r="F88" s="19"/>
      <c r="G88" s="19"/>
      <c r="H88" t="s">
        <v>4</v>
      </c>
      <c r="I88" s="20"/>
      <c r="J88" s="20"/>
      <c r="K88" s="20"/>
      <c r="L88" s="19"/>
      <c r="M88" s="19"/>
      <c r="N88" t="s">
        <v>4</v>
      </c>
      <c r="O88" s="20"/>
      <c r="P88" s="20"/>
      <c r="Q88" s="20"/>
      <c r="R88" s="19"/>
      <c r="S88" s="19"/>
      <c r="T88" t="s">
        <v>4</v>
      </c>
      <c r="U88" s="20"/>
      <c r="V88" s="20"/>
      <c r="W88" s="20"/>
      <c r="X88" s="12"/>
      <c r="Y88" s="19"/>
      <c r="Z88" s="19"/>
      <c r="AA88" t="s">
        <v>4</v>
      </c>
      <c r="AB88" s="12"/>
      <c r="AC88" s="12"/>
      <c r="AD88" s="20"/>
      <c r="AE88" s="20"/>
      <c r="AF88" s="20"/>
      <c r="AG88" s="19"/>
      <c r="AH88" s="19"/>
      <c r="AI88" t="s">
        <v>4</v>
      </c>
      <c r="AJ88" s="20"/>
      <c r="AK88" s="20"/>
      <c r="AL88" s="20"/>
      <c r="AM88" s="19"/>
      <c r="AN88" s="19"/>
      <c r="AO88" t="s">
        <v>4</v>
      </c>
      <c r="AP88" s="20"/>
      <c r="AQ88" s="20"/>
      <c r="AR88" s="20"/>
      <c r="AS88" s="19"/>
      <c r="AT88" s="19"/>
      <c r="AU88" t="s">
        <v>4</v>
      </c>
      <c r="AV88" s="20"/>
      <c r="AW88" s="20"/>
      <c r="AX88" s="20"/>
      <c r="AY88" s="19"/>
      <c r="AZ88" s="19"/>
      <c r="BA88" t="s">
        <v>4</v>
      </c>
      <c r="BB88" s="20"/>
      <c r="BC88" s="12"/>
      <c r="BF88">
        <f t="shared" si="8"/>
        <v>0</v>
      </c>
      <c r="BG88">
        <f t="shared" si="9"/>
        <v>0</v>
      </c>
      <c r="BH88">
        <f t="shared" si="10"/>
        <v>0</v>
      </c>
      <c r="BI88">
        <f t="shared" si="11"/>
        <v>0</v>
      </c>
      <c r="BJ88" t="s">
        <v>145</v>
      </c>
      <c r="BK88">
        <f t="shared" si="12"/>
        <v>0</v>
      </c>
      <c r="BL88" t="s">
        <v>145</v>
      </c>
      <c r="BM88">
        <f t="shared" si="13"/>
        <v>0</v>
      </c>
      <c r="BN88">
        <f t="shared" si="14"/>
        <v>0</v>
      </c>
    </row>
    <row r="89" spans="1:66">
      <c r="A89" t="s">
        <v>86</v>
      </c>
      <c r="C89" s="12"/>
      <c r="D89" s="20"/>
      <c r="E89" s="20"/>
      <c r="F89" s="20"/>
      <c r="G89" s="19"/>
      <c r="H89" s="19"/>
      <c r="I89" t="s">
        <v>4</v>
      </c>
      <c r="J89" s="20"/>
      <c r="K89" s="20"/>
      <c r="L89" s="20"/>
      <c r="M89" s="19"/>
      <c r="N89" s="19"/>
      <c r="O89" t="s">
        <v>4</v>
      </c>
      <c r="P89" s="20"/>
      <c r="Q89" s="20"/>
      <c r="R89" s="20"/>
      <c r="S89" s="19"/>
      <c r="T89" s="19"/>
      <c r="U89" t="s">
        <v>4</v>
      </c>
      <c r="V89" s="20"/>
      <c r="W89" s="20"/>
      <c r="X89" s="12"/>
      <c r="Y89" s="20"/>
      <c r="Z89" s="19"/>
      <c r="AA89" s="19"/>
      <c r="AB89" s="12"/>
      <c r="AC89" s="12"/>
      <c r="AD89" t="s">
        <v>4</v>
      </c>
      <c r="AE89" s="20"/>
      <c r="AF89" s="20"/>
      <c r="AG89" s="20"/>
      <c r="AH89" s="19"/>
      <c r="AI89" s="19"/>
      <c r="AJ89" t="s">
        <v>4</v>
      </c>
      <c r="AK89" s="20"/>
      <c r="AL89" s="20"/>
      <c r="AM89" s="20"/>
      <c r="AN89" s="19"/>
      <c r="AO89" s="19"/>
      <c r="AP89" t="s">
        <v>4</v>
      </c>
      <c r="AQ89" s="20"/>
      <c r="AR89" s="20"/>
      <c r="AS89" s="20"/>
      <c r="AT89" s="19"/>
      <c r="AU89" s="19"/>
      <c r="AV89" t="s">
        <v>4</v>
      </c>
      <c r="AW89" s="20"/>
      <c r="AX89" s="20"/>
      <c r="AY89" s="20"/>
      <c r="AZ89" s="19"/>
      <c r="BA89" s="19"/>
      <c r="BB89" t="s">
        <v>4</v>
      </c>
      <c r="BC89" s="12"/>
      <c r="BF89">
        <f t="shared" si="8"/>
        <v>0</v>
      </c>
      <c r="BG89">
        <f t="shared" si="9"/>
        <v>0</v>
      </c>
      <c r="BH89">
        <f t="shared" si="10"/>
        <v>0</v>
      </c>
      <c r="BI89">
        <f t="shared" si="11"/>
        <v>0</v>
      </c>
      <c r="BJ89" t="s">
        <v>145</v>
      </c>
      <c r="BK89">
        <f t="shared" si="12"/>
        <v>0</v>
      </c>
      <c r="BL89" t="s">
        <v>145</v>
      </c>
      <c r="BM89">
        <f t="shared" si="13"/>
        <v>0</v>
      </c>
      <c r="BN89">
        <f t="shared" si="14"/>
        <v>0</v>
      </c>
    </row>
    <row r="90" spans="1:66">
      <c r="A90" t="s">
        <v>87</v>
      </c>
      <c r="C90" s="12"/>
      <c r="D90" t="s">
        <v>4</v>
      </c>
      <c r="E90" s="20"/>
      <c r="F90" s="20"/>
      <c r="G90" s="20"/>
      <c r="H90" s="19"/>
      <c r="I90" s="19"/>
      <c r="J90" t="s">
        <v>4</v>
      </c>
      <c r="K90" s="20"/>
      <c r="L90" s="20"/>
      <c r="M90" s="20"/>
      <c r="N90" s="19"/>
      <c r="O90" s="19"/>
      <c r="P90" t="s">
        <v>4</v>
      </c>
      <c r="Q90" s="20"/>
      <c r="R90" s="20"/>
      <c r="S90" s="20"/>
      <c r="T90" s="19"/>
      <c r="U90" s="19"/>
      <c r="V90" t="s">
        <v>4</v>
      </c>
      <c r="W90" s="20"/>
      <c r="X90" s="12"/>
      <c r="Y90" s="20"/>
      <c r="Z90" s="20"/>
      <c r="AA90" s="19"/>
      <c r="AB90" s="12"/>
      <c r="AC90" s="12"/>
      <c r="AD90" s="19"/>
      <c r="AE90" t="s">
        <v>4</v>
      </c>
      <c r="AF90" s="20"/>
      <c r="AG90" s="20"/>
      <c r="AH90" s="20"/>
      <c r="AI90" s="19"/>
      <c r="AJ90" s="19"/>
      <c r="AK90" t="s">
        <v>4</v>
      </c>
      <c r="AL90" s="20"/>
      <c r="AM90" s="20"/>
      <c r="AN90" s="20"/>
      <c r="AO90" s="19"/>
      <c r="AP90" s="19"/>
      <c r="AQ90" t="s">
        <v>4</v>
      </c>
      <c r="AR90" s="20"/>
      <c r="AS90" s="20"/>
      <c r="AT90" s="20"/>
      <c r="AU90" s="19"/>
      <c r="AV90" s="19"/>
      <c r="AW90" t="s">
        <v>4</v>
      </c>
      <c r="AX90" s="20"/>
      <c r="AY90" s="20"/>
      <c r="AZ90" s="20"/>
      <c r="BA90" s="19"/>
      <c r="BB90" s="19"/>
      <c r="BC90" s="12"/>
      <c r="BF90">
        <f t="shared" si="8"/>
        <v>0</v>
      </c>
      <c r="BG90">
        <f t="shared" si="9"/>
        <v>0</v>
      </c>
      <c r="BH90">
        <f t="shared" si="10"/>
        <v>0</v>
      </c>
      <c r="BI90">
        <f t="shared" si="11"/>
        <v>0</v>
      </c>
      <c r="BJ90" t="s">
        <v>145</v>
      </c>
      <c r="BK90">
        <f t="shared" si="12"/>
        <v>0</v>
      </c>
      <c r="BL90" t="s">
        <v>145</v>
      </c>
      <c r="BM90">
        <f t="shared" si="13"/>
        <v>0</v>
      </c>
      <c r="BN90">
        <f t="shared" si="14"/>
        <v>0</v>
      </c>
    </row>
    <row r="91" spans="1:66">
      <c r="A91" t="s">
        <v>88</v>
      </c>
      <c r="C91" s="12"/>
      <c r="D91" s="19"/>
      <c r="E91" t="s">
        <v>4</v>
      </c>
      <c r="F91" s="20"/>
      <c r="G91" s="20"/>
      <c r="H91" s="20"/>
      <c r="I91" s="19"/>
      <c r="J91" s="19"/>
      <c r="K91" t="s">
        <v>4</v>
      </c>
      <c r="L91" s="20"/>
      <c r="M91" s="20"/>
      <c r="N91" s="20"/>
      <c r="O91" s="19"/>
      <c r="P91" s="19"/>
      <c r="Q91" t="s">
        <v>4</v>
      </c>
      <c r="R91" s="20"/>
      <c r="S91" s="20"/>
      <c r="T91" s="20"/>
      <c r="U91" s="19"/>
      <c r="V91" s="19"/>
      <c r="W91" t="s">
        <v>4</v>
      </c>
      <c r="X91" s="12"/>
      <c r="Y91" s="20"/>
      <c r="Z91" s="20"/>
      <c r="AA91" s="20"/>
      <c r="AB91" s="12"/>
      <c r="AC91" s="12"/>
      <c r="AD91" s="19"/>
      <c r="AE91" s="19"/>
      <c r="AF91" t="s">
        <v>4</v>
      </c>
      <c r="AG91" s="20"/>
      <c r="AH91" s="20"/>
      <c r="AI91" s="20"/>
      <c r="AJ91" s="19"/>
      <c r="AK91" s="19"/>
      <c r="AL91" t="s">
        <v>4</v>
      </c>
      <c r="AM91" s="20"/>
      <c r="AN91" s="20"/>
      <c r="AO91" s="20"/>
      <c r="AP91" s="19"/>
      <c r="AQ91" s="19"/>
      <c r="AR91" t="s">
        <v>4</v>
      </c>
      <c r="AS91" s="20"/>
      <c r="AT91" s="20"/>
      <c r="AU91" s="20"/>
      <c r="AV91" s="19"/>
      <c r="AW91" s="19"/>
      <c r="AX91" t="s">
        <v>4</v>
      </c>
      <c r="AY91" s="20"/>
      <c r="AZ91" s="20"/>
      <c r="BA91" s="20"/>
      <c r="BB91" s="19"/>
      <c r="BC91" s="12"/>
      <c r="BF91">
        <f t="shared" si="8"/>
        <v>0</v>
      </c>
      <c r="BG91">
        <f t="shared" si="9"/>
        <v>0</v>
      </c>
      <c r="BH91">
        <f t="shared" si="10"/>
        <v>0</v>
      </c>
      <c r="BI91">
        <f t="shared" si="11"/>
        <v>0</v>
      </c>
      <c r="BJ91" t="s">
        <v>145</v>
      </c>
      <c r="BK91">
        <f t="shared" si="12"/>
        <v>0</v>
      </c>
      <c r="BL91" t="s">
        <v>145</v>
      </c>
      <c r="BM91">
        <f t="shared" si="13"/>
        <v>0</v>
      </c>
      <c r="BN91">
        <f t="shared" si="14"/>
        <v>0</v>
      </c>
    </row>
    <row r="92" spans="1:66">
      <c r="A92" t="s">
        <v>89</v>
      </c>
      <c r="C92" s="12"/>
      <c r="D92" s="20"/>
      <c r="E92" s="19"/>
      <c r="F92" t="s">
        <v>4</v>
      </c>
      <c r="G92" s="20"/>
      <c r="H92" s="20"/>
      <c r="I92" s="20"/>
      <c r="J92" s="19"/>
      <c r="K92" s="19"/>
      <c r="L92" t="s">
        <v>4</v>
      </c>
      <c r="M92" s="20"/>
      <c r="N92" s="20"/>
      <c r="O92" s="20"/>
      <c r="P92" s="19"/>
      <c r="Q92" s="19"/>
      <c r="R92" t="s">
        <v>4</v>
      </c>
      <c r="S92" s="20"/>
      <c r="T92" s="20"/>
      <c r="U92" s="20"/>
      <c r="V92" s="19"/>
      <c r="W92" s="19"/>
      <c r="X92" s="12"/>
      <c r="Y92" t="s">
        <v>4</v>
      </c>
      <c r="Z92" s="20"/>
      <c r="AA92" s="20"/>
      <c r="AB92" s="12"/>
      <c r="AC92" s="12"/>
      <c r="AD92" s="20"/>
      <c r="AE92" s="19"/>
      <c r="AF92" s="19"/>
      <c r="AG92" t="s">
        <v>4</v>
      </c>
      <c r="AH92" s="20"/>
      <c r="AI92" s="20"/>
      <c r="AJ92" s="20"/>
      <c r="AK92" s="19"/>
      <c r="AL92" s="19"/>
      <c r="AM92" t="s">
        <v>4</v>
      </c>
      <c r="AN92" s="20"/>
      <c r="AO92" s="20"/>
      <c r="AP92" s="20"/>
      <c r="AQ92" s="19"/>
      <c r="AR92" s="19"/>
      <c r="AS92" t="s">
        <v>4</v>
      </c>
      <c r="AT92" s="20"/>
      <c r="AU92" s="20"/>
      <c r="AV92" s="20"/>
      <c r="AW92" s="19"/>
      <c r="AX92" s="19"/>
      <c r="AY92" t="s">
        <v>4</v>
      </c>
      <c r="AZ92" s="20"/>
      <c r="BA92" s="20"/>
      <c r="BB92" s="20"/>
      <c r="BC92" s="12"/>
      <c r="BF92">
        <f t="shared" si="8"/>
        <v>0</v>
      </c>
      <c r="BG92">
        <f t="shared" si="9"/>
        <v>0</v>
      </c>
      <c r="BH92">
        <f t="shared" si="10"/>
        <v>0</v>
      </c>
      <c r="BI92">
        <f t="shared" si="11"/>
        <v>0</v>
      </c>
      <c r="BJ92" t="s">
        <v>145</v>
      </c>
      <c r="BK92">
        <f t="shared" si="12"/>
        <v>0</v>
      </c>
      <c r="BL92" t="s">
        <v>145</v>
      </c>
      <c r="BM92">
        <f t="shared" si="13"/>
        <v>0</v>
      </c>
      <c r="BN92">
        <f t="shared" si="14"/>
        <v>0</v>
      </c>
    </row>
    <row r="93" spans="1:66">
      <c r="A93" t="s">
        <v>90</v>
      </c>
      <c r="C93" s="12"/>
      <c r="D93" s="20"/>
      <c r="E93" s="20"/>
      <c r="F93" s="20"/>
      <c r="G93" t="s">
        <v>4</v>
      </c>
      <c r="H93" s="20"/>
      <c r="I93" s="20"/>
      <c r="J93" s="20"/>
      <c r="K93" s="19"/>
      <c r="L93" s="19"/>
      <c r="M93" t="s">
        <v>4</v>
      </c>
      <c r="N93" s="20"/>
      <c r="O93" s="20"/>
      <c r="P93" s="20"/>
      <c r="Q93" s="19"/>
      <c r="R93" s="19"/>
      <c r="S93" t="s">
        <v>4</v>
      </c>
      <c r="T93" s="20"/>
      <c r="U93" s="20"/>
      <c r="V93" s="20"/>
      <c r="W93" s="19"/>
      <c r="X93" s="12"/>
      <c r="Y93" s="19"/>
      <c r="Z93" t="s">
        <v>4</v>
      </c>
      <c r="AA93" s="20"/>
      <c r="AB93" s="12"/>
      <c r="AC93" s="12"/>
      <c r="AD93" s="20"/>
      <c r="AE93" s="20"/>
      <c r="AF93" s="19"/>
      <c r="AG93" s="19"/>
      <c r="AH93" t="s">
        <v>4</v>
      </c>
      <c r="AI93" s="20"/>
      <c r="AJ93" s="20"/>
      <c r="AK93" s="20"/>
      <c r="AL93" s="19"/>
      <c r="AM93" s="19"/>
      <c r="AN93" t="s">
        <v>4</v>
      </c>
      <c r="AO93" s="20"/>
      <c r="AP93" s="20"/>
      <c r="AQ93" s="20"/>
      <c r="AR93" s="19"/>
      <c r="AS93" s="19"/>
      <c r="AT93" t="s">
        <v>4</v>
      </c>
      <c r="AU93" s="20"/>
      <c r="AV93" s="20"/>
      <c r="AW93" s="20"/>
      <c r="AX93" s="19"/>
      <c r="AY93" s="19"/>
      <c r="AZ93" t="s">
        <v>4</v>
      </c>
      <c r="BA93" s="20"/>
      <c r="BB93" s="20"/>
      <c r="BC93" s="12"/>
      <c r="BF93">
        <f t="shared" si="8"/>
        <v>0</v>
      </c>
      <c r="BG93">
        <f t="shared" si="9"/>
        <v>0</v>
      </c>
      <c r="BH93">
        <f t="shared" si="10"/>
        <v>0</v>
      </c>
      <c r="BI93">
        <f t="shared" si="11"/>
        <v>0</v>
      </c>
      <c r="BJ93" t="s">
        <v>145</v>
      </c>
      <c r="BK93">
        <f t="shared" si="12"/>
        <v>0</v>
      </c>
      <c r="BL93" t="s">
        <v>145</v>
      </c>
      <c r="BM93">
        <f t="shared" si="13"/>
        <v>0</v>
      </c>
      <c r="BN93">
        <f t="shared" si="14"/>
        <v>0</v>
      </c>
    </row>
    <row r="94" spans="1:66">
      <c r="A94" t="s">
        <v>212</v>
      </c>
      <c r="C94" s="12"/>
      <c r="D94" s="20"/>
      <c r="E94" s="20"/>
      <c r="F94" s="19"/>
      <c r="G94" s="19"/>
      <c r="H94" t="s">
        <v>4</v>
      </c>
      <c r="I94" s="20"/>
      <c r="J94" s="20"/>
      <c r="K94" s="20"/>
      <c r="L94" s="19"/>
      <c r="M94" s="19"/>
      <c r="N94" t="s">
        <v>4</v>
      </c>
      <c r="O94" s="20"/>
      <c r="P94" s="20"/>
      <c r="Q94" s="20"/>
      <c r="R94" s="19"/>
      <c r="S94" s="19"/>
      <c r="T94" t="s">
        <v>4</v>
      </c>
      <c r="U94" s="20"/>
      <c r="V94" s="20"/>
      <c r="W94" s="20"/>
      <c r="X94" s="12"/>
      <c r="Y94" s="19"/>
      <c r="Z94" s="19"/>
      <c r="AA94" t="s">
        <v>4</v>
      </c>
      <c r="AB94" s="12"/>
      <c r="AC94" s="12"/>
      <c r="AD94" s="20"/>
      <c r="AE94" s="20"/>
      <c r="AF94" s="20"/>
      <c r="AG94" s="19"/>
      <c r="AH94" s="19"/>
      <c r="AI94" t="s">
        <v>4</v>
      </c>
      <c r="AJ94" s="20"/>
      <c r="AK94" s="20"/>
      <c r="AL94" s="20"/>
      <c r="AM94" s="19"/>
      <c r="AN94" s="19"/>
      <c r="AO94" t="s">
        <v>4</v>
      </c>
      <c r="AP94" s="20"/>
      <c r="AQ94" s="20"/>
      <c r="AR94" s="20"/>
      <c r="AS94" s="19"/>
      <c r="AT94" s="19"/>
      <c r="AU94" t="s">
        <v>4</v>
      </c>
      <c r="AV94" s="20"/>
      <c r="AW94" s="20"/>
      <c r="AX94" s="20"/>
      <c r="AY94" s="19"/>
      <c r="AZ94" s="19"/>
      <c r="BA94" t="s">
        <v>4</v>
      </c>
      <c r="BB94" s="20"/>
      <c r="BC94" s="12"/>
      <c r="BF94">
        <f t="shared" si="8"/>
        <v>0</v>
      </c>
      <c r="BG94">
        <f t="shared" si="9"/>
        <v>0</v>
      </c>
      <c r="BH94">
        <f t="shared" si="10"/>
        <v>0</v>
      </c>
      <c r="BI94">
        <f t="shared" si="11"/>
        <v>0</v>
      </c>
      <c r="BJ94" t="s">
        <v>145</v>
      </c>
      <c r="BK94">
        <f t="shared" si="12"/>
        <v>0</v>
      </c>
      <c r="BL94" t="s">
        <v>145</v>
      </c>
      <c r="BM94">
        <f t="shared" si="13"/>
        <v>0</v>
      </c>
      <c r="BN94">
        <f t="shared" si="14"/>
        <v>0</v>
      </c>
    </row>
    <row r="95" spans="1:66">
      <c r="A95" t="s">
        <v>91</v>
      </c>
    </row>
    <row r="96" spans="1:66">
      <c r="A96" t="s">
        <v>92</v>
      </c>
    </row>
    <row r="97" spans="1:55">
      <c r="A97" t="s">
        <v>93</v>
      </c>
    </row>
    <row r="98" spans="1:55">
      <c r="A98" t="s">
        <v>94</v>
      </c>
    </row>
    <row r="99" spans="1:55">
      <c r="A99" t="s">
        <v>95</v>
      </c>
    </row>
    <row r="100" spans="1:55">
      <c r="A100" t="s">
        <v>96</v>
      </c>
    </row>
    <row r="101" spans="1:55">
      <c r="A101" t="s">
        <v>97</v>
      </c>
    </row>
    <row r="102" spans="1:55">
      <c r="A102" t="s">
        <v>98</v>
      </c>
    </row>
    <row r="103" spans="1:55">
      <c r="A103" t="s">
        <v>99</v>
      </c>
    </row>
    <row r="104" spans="1:55">
      <c r="A104" t="s">
        <v>100</v>
      </c>
    </row>
    <row r="105" spans="1:55">
      <c r="A105" t="s">
        <v>101</v>
      </c>
      <c r="AD105" s="7"/>
      <c r="AE105" s="7"/>
      <c r="AF105" s="7"/>
      <c r="AG105" s="7"/>
    </row>
    <row r="106" spans="1:55">
      <c r="A106" t="s">
        <v>102</v>
      </c>
      <c r="AP106" s="7"/>
      <c r="AQ106" s="7"/>
      <c r="AR106" s="7"/>
      <c r="AS106" s="7"/>
      <c r="AT106" s="7"/>
    </row>
    <row r="107" spans="1:55">
      <c r="A107" t="s">
        <v>103</v>
      </c>
      <c r="AU107" s="7"/>
      <c r="AV107" s="7"/>
      <c r="AW107" s="7"/>
      <c r="AX107" s="7"/>
    </row>
    <row r="108" spans="1:55">
      <c r="A108" t="s">
        <v>146</v>
      </c>
      <c r="AY108" s="7"/>
      <c r="AZ108" s="7"/>
      <c r="BA108" s="7"/>
      <c r="BB108" s="7"/>
      <c r="BC108" s="7"/>
    </row>
    <row r="109" spans="1:55">
      <c r="A109" t="s">
        <v>104</v>
      </c>
    </row>
    <row r="110" spans="1:55">
      <c r="A110" t="s">
        <v>105</v>
      </c>
    </row>
    <row r="111" spans="1:55">
      <c r="A111" t="s">
        <v>106</v>
      </c>
    </row>
    <row r="112" spans="1:55">
      <c r="A112" t="s">
        <v>107</v>
      </c>
    </row>
    <row r="113" spans="1:1">
      <c r="A113" t="s">
        <v>108</v>
      </c>
    </row>
    <row r="114" spans="1:1">
      <c r="A114" t="s">
        <v>109</v>
      </c>
    </row>
    <row r="115" spans="1:1">
      <c r="A115" t="s">
        <v>110</v>
      </c>
    </row>
    <row r="116" spans="1:1">
      <c r="A116" t="s">
        <v>111</v>
      </c>
    </row>
    <row r="117" spans="1:1">
      <c r="A117" t="s">
        <v>112</v>
      </c>
    </row>
    <row r="118" spans="1:1">
      <c r="A118" t="s">
        <v>113</v>
      </c>
    </row>
    <row r="119" spans="1:1">
      <c r="A119" t="s">
        <v>114</v>
      </c>
    </row>
    <row r="120" spans="1:1">
      <c r="A120" t="s">
        <v>115</v>
      </c>
    </row>
    <row r="121" spans="1:1">
      <c r="A121" t="s">
        <v>116</v>
      </c>
    </row>
    <row r="122" spans="1:1">
      <c r="A122" t="s">
        <v>117</v>
      </c>
    </row>
    <row r="123" spans="1:1">
      <c r="A123" t="s">
        <v>118</v>
      </c>
    </row>
    <row r="124" spans="1:1">
      <c r="A124" t="s">
        <v>119</v>
      </c>
    </row>
    <row r="125" spans="1:1">
      <c r="A125" t="s">
        <v>120</v>
      </c>
    </row>
    <row r="126" spans="1:1">
      <c r="A126" t="s">
        <v>121</v>
      </c>
    </row>
    <row r="129" spans="1:56">
      <c r="A129" t="s">
        <v>147</v>
      </c>
    </row>
    <row r="130" spans="1:56">
      <c r="B130" t="s">
        <v>148</v>
      </c>
      <c r="C130">
        <f>COUNTIF(C4:C126, "Clinic")</f>
        <v>0</v>
      </c>
      <c r="D130">
        <f>COUNTIF(D4:D126, "Clinic")</f>
        <v>16</v>
      </c>
      <c r="E130">
        <f t="shared" ref="D130:BC130" si="15">COUNTIF(E4:E126, "Clinic")</f>
        <v>16</v>
      </c>
      <c r="F130">
        <f t="shared" si="15"/>
        <v>15</v>
      </c>
      <c r="G130">
        <f t="shared" si="15"/>
        <v>15</v>
      </c>
      <c r="H130">
        <f t="shared" si="15"/>
        <v>15</v>
      </c>
      <c r="I130">
        <f t="shared" si="15"/>
        <v>14</v>
      </c>
      <c r="J130">
        <f t="shared" si="15"/>
        <v>16</v>
      </c>
      <c r="K130">
        <f t="shared" si="15"/>
        <v>16</v>
      </c>
      <c r="L130">
        <f t="shared" si="15"/>
        <v>15</v>
      </c>
      <c r="M130">
        <f t="shared" si="15"/>
        <v>15</v>
      </c>
      <c r="N130">
        <f t="shared" si="15"/>
        <v>15</v>
      </c>
      <c r="O130">
        <f t="shared" si="15"/>
        <v>14</v>
      </c>
      <c r="P130">
        <f t="shared" si="15"/>
        <v>16</v>
      </c>
      <c r="Q130">
        <f t="shared" si="15"/>
        <v>16</v>
      </c>
      <c r="R130">
        <f t="shared" si="15"/>
        <v>15</v>
      </c>
      <c r="S130">
        <f t="shared" si="15"/>
        <v>15</v>
      </c>
      <c r="T130">
        <f t="shared" si="15"/>
        <v>15</v>
      </c>
      <c r="U130">
        <f t="shared" si="15"/>
        <v>14</v>
      </c>
      <c r="V130">
        <f t="shared" si="15"/>
        <v>16</v>
      </c>
      <c r="W130">
        <f t="shared" si="15"/>
        <v>16</v>
      </c>
      <c r="X130">
        <f t="shared" si="15"/>
        <v>0</v>
      </c>
      <c r="Y130">
        <f t="shared" si="15"/>
        <v>15</v>
      </c>
      <c r="Z130">
        <f t="shared" si="15"/>
        <v>15</v>
      </c>
      <c r="AA130">
        <f t="shared" si="15"/>
        <v>15</v>
      </c>
      <c r="AB130">
        <f t="shared" si="15"/>
        <v>0</v>
      </c>
      <c r="AC130">
        <f t="shared" si="15"/>
        <v>0</v>
      </c>
      <c r="AD130">
        <f t="shared" si="15"/>
        <v>14</v>
      </c>
      <c r="AE130">
        <f t="shared" si="15"/>
        <v>16</v>
      </c>
      <c r="AF130">
        <f t="shared" si="15"/>
        <v>16</v>
      </c>
      <c r="AG130">
        <f t="shared" si="15"/>
        <v>15</v>
      </c>
      <c r="AH130">
        <f t="shared" si="15"/>
        <v>15</v>
      </c>
      <c r="AI130">
        <f t="shared" si="15"/>
        <v>15</v>
      </c>
      <c r="AJ130">
        <f t="shared" si="15"/>
        <v>14</v>
      </c>
      <c r="AK130">
        <f t="shared" si="15"/>
        <v>16</v>
      </c>
      <c r="AL130">
        <f t="shared" si="15"/>
        <v>16</v>
      </c>
      <c r="AM130">
        <f t="shared" si="15"/>
        <v>15</v>
      </c>
      <c r="AN130">
        <f t="shared" si="15"/>
        <v>15</v>
      </c>
      <c r="AO130">
        <f t="shared" si="15"/>
        <v>15</v>
      </c>
      <c r="AP130">
        <f t="shared" si="15"/>
        <v>14</v>
      </c>
      <c r="AQ130">
        <f t="shared" si="15"/>
        <v>16</v>
      </c>
      <c r="AR130">
        <f t="shared" si="15"/>
        <v>16</v>
      </c>
      <c r="AS130">
        <f t="shared" si="15"/>
        <v>15</v>
      </c>
      <c r="AT130">
        <f t="shared" si="15"/>
        <v>15</v>
      </c>
      <c r="AU130">
        <f t="shared" si="15"/>
        <v>15</v>
      </c>
      <c r="AV130">
        <f t="shared" si="15"/>
        <v>14</v>
      </c>
      <c r="AW130">
        <f t="shared" si="15"/>
        <v>16</v>
      </c>
      <c r="AX130">
        <f t="shared" si="15"/>
        <v>16</v>
      </c>
      <c r="AY130">
        <f t="shared" si="15"/>
        <v>15</v>
      </c>
      <c r="AZ130">
        <f t="shared" si="15"/>
        <v>15</v>
      </c>
      <c r="BA130">
        <f t="shared" si="15"/>
        <v>15</v>
      </c>
      <c r="BB130">
        <f t="shared" si="15"/>
        <v>14</v>
      </c>
      <c r="BC130">
        <f t="shared" si="15"/>
        <v>0</v>
      </c>
    </row>
    <row r="131" spans="1:56">
      <c r="B131" s="1" t="s">
        <v>150</v>
      </c>
    </row>
    <row r="132" spans="1:56">
      <c r="B132" s="8" t="s">
        <v>151</v>
      </c>
      <c r="C132">
        <f t="shared" ref="C132:BC132" si="16">SUM(C133:C138)</f>
        <v>0</v>
      </c>
      <c r="D132">
        <f t="shared" si="16"/>
        <v>2</v>
      </c>
      <c r="E132">
        <f t="shared" si="16"/>
        <v>4</v>
      </c>
      <c r="F132">
        <f t="shared" si="16"/>
        <v>6</v>
      </c>
      <c r="G132">
        <f t="shared" si="16"/>
        <v>6</v>
      </c>
      <c r="H132">
        <f t="shared" si="16"/>
        <v>6</v>
      </c>
      <c r="I132">
        <f t="shared" si="16"/>
        <v>6</v>
      </c>
      <c r="J132">
        <f t="shared" si="16"/>
        <v>6</v>
      </c>
      <c r="K132">
        <f t="shared" si="16"/>
        <v>6</v>
      </c>
      <c r="L132">
        <f t="shared" si="16"/>
        <v>6</v>
      </c>
      <c r="M132">
        <f t="shared" si="16"/>
        <v>6</v>
      </c>
      <c r="N132">
        <f t="shared" si="16"/>
        <v>6</v>
      </c>
      <c r="O132">
        <f t="shared" si="16"/>
        <v>6</v>
      </c>
      <c r="P132">
        <f t="shared" si="16"/>
        <v>6</v>
      </c>
      <c r="Q132">
        <f t="shared" si="16"/>
        <v>6</v>
      </c>
      <c r="R132">
        <f t="shared" si="16"/>
        <v>6</v>
      </c>
      <c r="S132">
        <f t="shared" si="16"/>
        <v>6</v>
      </c>
      <c r="T132">
        <f t="shared" si="16"/>
        <v>6</v>
      </c>
      <c r="U132">
        <f t="shared" si="16"/>
        <v>6</v>
      </c>
      <c r="V132">
        <f t="shared" si="16"/>
        <v>6</v>
      </c>
      <c r="W132">
        <f t="shared" si="16"/>
        <v>5</v>
      </c>
      <c r="X132">
        <f t="shared" si="16"/>
        <v>0</v>
      </c>
      <c r="Y132">
        <f t="shared" si="16"/>
        <v>1</v>
      </c>
      <c r="Z132">
        <f t="shared" si="16"/>
        <v>1</v>
      </c>
      <c r="AA132">
        <f t="shared" si="16"/>
        <v>0</v>
      </c>
      <c r="AB132">
        <f t="shared" si="16"/>
        <v>0</v>
      </c>
      <c r="AC132">
        <f t="shared" si="16"/>
        <v>0</v>
      </c>
      <c r="AD132">
        <f t="shared" si="16"/>
        <v>0</v>
      </c>
      <c r="AE132">
        <f t="shared" si="16"/>
        <v>0</v>
      </c>
      <c r="AF132">
        <f t="shared" si="16"/>
        <v>0</v>
      </c>
      <c r="AG132">
        <f t="shared" si="16"/>
        <v>0</v>
      </c>
      <c r="AH132">
        <f t="shared" si="16"/>
        <v>0</v>
      </c>
      <c r="AI132">
        <f t="shared" si="16"/>
        <v>0</v>
      </c>
      <c r="AJ132">
        <f t="shared" si="16"/>
        <v>0</v>
      </c>
      <c r="AK132">
        <f t="shared" si="16"/>
        <v>0</v>
      </c>
      <c r="AL132">
        <f t="shared" si="16"/>
        <v>0</v>
      </c>
      <c r="AM132">
        <f t="shared" si="16"/>
        <v>0</v>
      </c>
      <c r="AN132">
        <f t="shared" si="16"/>
        <v>0</v>
      </c>
      <c r="AO132">
        <f t="shared" si="16"/>
        <v>0</v>
      </c>
      <c r="AP132">
        <f t="shared" si="16"/>
        <v>0</v>
      </c>
      <c r="AQ132">
        <f t="shared" si="16"/>
        <v>0</v>
      </c>
      <c r="AR132">
        <f t="shared" si="16"/>
        <v>0</v>
      </c>
      <c r="AS132">
        <f t="shared" si="16"/>
        <v>0</v>
      </c>
      <c r="AT132">
        <f t="shared" si="16"/>
        <v>0</v>
      </c>
      <c r="AU132">
        <f t="shared" si="16"/>
        <v>0</v>
      </c>
      <c r="AV132">
        <f t="shared" si="16"/>
        <v>0</v>
      </c>
      <c r="AW132">
        <f t="shared" si="16"/>
        <v>0</v>
      </c>
      <c r="AX132">
        <f t="shared" si="16"/>
        <v>0</v>
      </c>
      <c r="AY132">
        <f t="shared" si="16"/>
        <v>0</v>
      </c>
      <c r="AZ132">
        <f t="shared" si="16"/>
        <v>0</v>
      </c>
      <c r="BA132">
        <f t="shared" si="16"/>
        <v>0</v>
      </c>
      <c r="BB132">
        <f t="shared" si="16"/>
        <v>0</v>
      </c>
      <c r="BC132">
        <f t="shared" si="16"/>
        <v>0</v>
      </c>
    </row>
    <row r="133" spans="1:56">
      <c r="B133" t="s">
        <v>152</v>
      </c>
      <c r="C133">
        <f t="shared" ref="C133:BC133" si="17">COUNTIF(C4:C59, "rSLUH1")</f>
        <v>0</v>
      </c>
      <c r="D133">
        <f t="shared" si="17"/>
        <v>1</v>
      </c>
      <c r="E133">
        <f t="shared" si="17"/>
        <v>1</v>
      </c>
      <c r="F133">
        <f t="shared" si="17"/>
        <v>1</v>
      </c>
      <c r="G133">
        <f t="shared" si="17"/>
        <v>1</v>
      </c>
      <c r="H133">
        <f t="shared" si="17"/>
        <v>1</v>
      </c>
      <c r="I133">
        <f t="shared" si="17"/>
        <v>1</v>
      </c>
      <c r="J133">
        <f t="shared" si="17"/>
        <v>1</v>
      </c>
      <c r="K133">
        <f t="shared" si="17"/>
        <v>1</v>
      </c>
      <c r="L133">
        <f t="shared" si="17"/>
        <v>1</v>
      </c>
      <c r="M133">
        <f t="shared" si="17"/>
        <v>1</v>
      </c>
      <c r="N133">
        <f t="shared" si="17"/>
        <v>1</v>
      </c>
      <c r="O133">
        <f t="shared" si="17"/>
        <v>1</v>
      </c>
      <c r="P133">
        <f t="shared" si="17"/>
        <v>1</v>
      </c>
      <c r="Q133">
        <f t="shared" si="17"/>
        <v>1</v>
      </c>
      <c r="R133">
        <f t="shared" si="17"/>
        <v>1</v>
      </c>
      <c r="S133">
        <f t="shared" si="17"/>
        <v>1</v>
      </c>
      <c r="T133">
        <f t="shared" si="17"/>
        <v>1</v>
      </c>
      <c r="U133">
        <f t="shared" si="17"/>
        <v>1</v>
      </c>
      <c r="V133">
        <f t="shared" si="17"/>
        <v>1</v>
      </c>
      <c r="W133">
        <f t="shared" si="17"/>
        <v>1</v>
      </c>
      <c r="X133">
        <f t="shared" si="17"/>
        <v>0</v>
      </c>
      <c r="Y133">
        <f t="shared" si="17"/>
        <v>0</v>
      </c>
      <c r="Z133">
        <f t="shared" si="17"/>
        <v>0</v>
      </c>
      <c r="AA133">
        <f t="shared" si="17"/>
        <v>0</v>
      </c>
      <c r="AB133">
        <f t="shared" si="17"/>
        <v>0</v>
      </c>
      <c r="AC133">
        <f t="shared" si="17"/>
        <v>0</v>
      </c>
      <c r="AD133">
        <f t="shared" si="17"/>
        <v>0</v>
      </c>
      <c r="AE133">
        <f t="shared" si="17"/>
        <v>0</v>
      </c>
      <c r="AF133">
        <f t="shared" si="17"/>
        <v>0</v>
      </c>
      <c r="AG133">
        <f t="shared" si="17"/>
        <v>0</v>
      </c>
      <c r="AH133">
        <f t="shared" si="17"/>
        <v>0</v>
      </c>
      <c r="AI133">
        <f t="shared" si="17"/>
        <v>0</v>
      </c>
      <c r="AJ133">
        <f t="shared" si="17"/>
        <v>0</v>
      </c>
      <c r="AK133">
        <f t="shared" si="17"/>
        <v>0</v>
      </c>
      <c r="AL133">
        <f t="shared" si="17"/>
        <v>0</v>
      </c>
      <c r="AM133">
        <f t="shared" si="17"/>
        <v>0</v>
      </c>
      <c r="AN133">
        <f t="shared" si="17"/>
        <v>0</v>
      </c>
      <c r="AO133">
        <f t="shared" si="17"/>
        <v>0</v>
      </c>
      <c r="AP133">
        <f t="shared" si="17"/>
        <v>0</v>
      </c>
      <c r="AQ133">
        <f t="shared" si="17"/>
        <v>0</v>
      </c>
      <c r="AR133">
        <f t="shared" si="17"/>
        <v>0</v>
      </c>
      <c r="AS133">
        <f t="shared" si="17"/>
        <v>0</v>
      </c>
      <c r="AT133">
        <f t="shared" si="17"/>
        <v>0</v>
      </c>
      <c r="AU133">
        <f t="shared" si="17"/>
        <v>0</v>
      </c>
      <c r="AV133">
        <f t="shared" si="17"/>
        <v>0</v>
      </c>
      <c r="AW133">
        <f t="shared" si="17"/>
        <v>0</v>
      </c>
      <c r="AX133">
        <f t="shared" si="17"/>
        <v>0</v>
      </c>
      <c r="AY133">
        <f t="shared" si="17"/>
        <v>0</v>
      </c>
      <c r="AZ133">
        <f t="shared" si="17"/>
        <v>0</v>
      </c>
      <c r="BA133">
        <f t="shared" si="17"/>
        <v>0</v>
      </c>
      <c r="BB133">
        <f t="shared" si="17"/>
        <v>0</v>
      </c>
      <c r="BC133">
        <f t="shared" si="17"/>
        <v>0</v>
      </c>
      <c r="BD133">
        <f>COUNTIF(C133:BC133, "0")</f>
        <v>33</v>
      </c>
    </row>
    <row r="134" spans="1:56">
      <c r="B134" t="s">
        <v>153</v>
      </c>
      <c r="C134">
        <f t="shared" ref="C134:BC134" si="18">COUNTIF(C4:C59, "rSLUH2")</f>
        <v>0</v>
      </c>
      <c r="D134">
        <f t="shared" si="18"/>
        <v>0</v>
      </c>
      <c r="E134">
        <f t="shared" si="18"/>
        <v>1</v>
      </c>
      <c r="F134">
        <f t="shared" si="18"/>
        <v>1</v>
      </c>
      <c r="G134">
        <f t="shared" si="18"/>
        <v>1</v>
      </c>
      <c r="H134">
        <f t="shared" si="18"/>
        <v>1</v>
      </c>
      <c r="I134">
        <f t="shared" si="18"/>
        <v>1</v>
      </c>
      <c r="J134">
        <f t="shared" si="18"/>
        <v>1</v>
      </c>
      <c r="K134">
        <f t="shared" si="18"/>
        <v>1</v>
      </c>
      <c r="L134">
        <f t="shared" si="18"/>
        <v>1</v>
      </c>
      <c r="M134">
        <f t="shared" si="18"/>
        <v>1</v>
      </c>
      <c r="N134">
        <f t="shared" si="18"/>
        <v>1</v>
      </c>
      <c r="O134">
        <f t="shared" si="18"/>
        <v>1</v>
      </c>
      <c r="P134">
        <f t="shared" si="18"/>
        <v>1</v>
      </c>
      <c r="Q134">
        <f t="shared" si="18"/>
        <v>1</v>
      </c>
      <c r="R134">
        <f t="shared" si="18"/>
        <v>1</v>
      </c>
      <c r="S134">
        <f t="shared" si="18"/>
        <v>1</v>
      </c>
      <c r="T134">
        <f t="shared" si="18"/>
        <v>1</v>
      </c>
      <c r="U134">
        <f t="shared" si="18"/>
        <v>1</v>
      </c>
      <c r="V134">
        <f t="shared" si="18"/>
        <v>1</v>
      </c>
      <c r="W134">
        <f t="shared" si="18"/>
        <v>1</v>
      </c>
      <c r="X134">
        <f t="shared" si="18"/>
        <v>0</v>
      </c>
      <c r="Y134">
        <f t="shared" si="18"/>
        <v>1</v>
      </c>
      <c r="Z134">
        <f t="shared" si="18"/>
        <v>1</v>
      </c>
      <c r="AA134">
        <f t="shared" si="18"/>
        <v>0</v>
      </c>
      <c r="AB134">
        <f t="shared" si="18"/>
        <v>0</v>
      </c>
      <c r="AC134">
        <f t="shared" si="18"/>
        <v>0</v>
      </c>
      <c r="AD134">
        <f t="shared" si="18"/>
        <v>0</v>
      </c>
      <c r="AE134">
        <f t="shared" si="18"/>
        <v>0</v>
      </c>
      <c r="AF134">
        <f t="shared" si="18"/>
        <v>0</v>
      </c>
      <c r="AG134">
        <f t="shared" si="18"/>
        <v>0</v>
      </c>
      <c r="AH134">
        <f t="shared" si="18"/>
        <v>0</v>
      </c>
      <c r="AI134">
        <f t="shared" si="18"/>
        <v>0</v>
      </c>
      <c r="AJ134">
        <f t="shared" si="18"/>
        <v>0</v>
      </c>
      <c r="AK134">
        <f t="shared" si="18"/>
        <v>0</v>
      </c>
      <c r="AL134">
        <f t="shared" si="18"/>
        <v>0</v>
      </c>
      <c r="AM134">
        <f t="shared" si="18"/>
        <v>0</v>
      </c>
      <c r="AN134">
        <f t="shared" si="18"/>
        <v>0</v>
      </c>
      <c r="AO134">
        <f t="shared" si="18"/>
        <v>0</v>
      </c>
      <c r="AP134">
        <f t="shared" si="18"/>
        <v>0</v>
      </c>
      <c r="AQ134">
        <f t="shared" si="18"/>
        <v>0</v>
      </c>
      <c r="AR134">
        <f t="shared" si="18"/>
        <v>0</v>
      </c>
      <c r="AS134">
        <f t="shared" si="18"/>
        <v>0</v>
      </c>
      <c r="AT134">
        <f t="shared" si="18"/>
        <v>0</v>
      </c>
      <c r="AU134">
        <f t="shared" si="18"/>
        <v>0</v>
      </c>
      <c r="AV134">
        <f t="shared" si="18"/>
        <v>0</v>
      </c>
      <c r="AW134">
        <f t="shared" si="18"/>
        <v>0</v>
      </c>
      <c r="AX134">
        <f t="shared" si="18"/>
        <v>0</v>
      </c>
      <c r="AY134">
        <f t="shared" si="18"/>
        <v>0</v>
      </c>
      <c r="AZ134">
        <f t="shared" si="18"/>
        <v>0</v>
      </c>
      <c r="BA134">
        <f t="shared" si="18"/>
        <v>0</v>
      </c>
      <c r="BB134">
        <f t="shared" si="18"/>
        <v>0</v>
      </c>
      <c r="BC134">
        <f t="shared" si="18"/>
        <v>0</v>
      </c>
      <c r="BD134">
        <f t="shared" ref="BD134:BD138" si="19">COUNTIF(C134:BC134, "0")</f>
        <v>32</v>
      </c>
    </row>
    <row r="135" spans="1:56">
      <c r="B135" t="s">
        <v>154</v>
      </c>
      <c r="C135">
        <f t="shared" ref="C135:BC135" si="20">COUNTIF(C4:C59, "rSLUH3")</f>
        <v>0</v>
      </c>
      <c r="D135">
        <f t="shared" si="20"/>
        <v>0</v>
      </c>
      <c r="E135">
        <f t="shared" si="20"/>
        <v>0</v>
      </c>
      <c r="F135">
        <f t="shared" si="20"/>
        <v>1</v>
      </c>
      <c r="G135">
        <f t="shared" si="20"/>
        <v>1</v>
      </c>
      <c r="H135">
        <f t="shared" si="20"/>
        <v>1</v>
      </c>
      <c r="I135">
        <f t="shared" si="20"/>
        <v>1</v>
      </c>
      <c r="J135">
        <f t="shared" si="20"/>
        <v>1</v>
      </c>
      <c r="K135">
        <f t="shared" si="20"/>
        <v>1</v>
      </c>
      <c r="L135">
        <f t="shared" si="20"/>
        <v>1</v>
      </c>
      <c r="M135">
        <f t="shared" si="20"/>
        <v>1</v>
      </c>
      <c r="N135">
        <f t="shared" si="20"/>
        <v>1</v>
      </c>
      <c r="O135">
        <f t="shared" si="20"/>
        <v>1</v>
      </c>
      <c r="P135">
        <f t="shared" si="20"/>
        <v>1</v>
      </c>
      <c r="Q135">
        <f t="shared" si="20"/>
        <v>1</v>
      </c>
      <c r="R135">
        <f t="shared" si="20"/>
        <v>1</v>
      </c>
      <c r="S135">
        <f t="shared" si="20"/>
        <v>1</v>
      </c>
      <c r="T135">
        <f t="shared" si="20"/>
        <v>1</v>
      </c>
      <c r="U135">
        <f t="shared" si="20"/>
        <v>1</v>
      </c>
      <c r="V135">
        <f t="shared" si="20"/>
        <v>1</v>
      </c>
      <c r="W135">
        <f t="shared" si="20"/>
        <v>1</v>
      </c>
      <c r="X135">
        <f t="shared" si="20"/>
        <v>0</v>
      </c>
      <c r="Y135">
        <f t="shared" si="20"/>
        <v>0</v>
      </c>
      <c r="Z135">
        <f t="shared" si="20"/>
        <v>0</v>
      </c>
      <c r="AA135">
        <f t="shared" si="20"/>
        <v>0</v>
      </c>
      <c r="AB135">
        <f t="shared" si="20"/>
        <v>0</v>
      </c>
      <c r="AC135">
        <f t="shared" si="20"/>
        <v>0</v>
      </c>
      <c r="AD135">
        <f t="shared" si="20"/>
        <v>0</v>
      </c>
      <c r="AE135">
        <f t="shared" si="20"/>
        <v>0</v>
      </c>
      <c r="AF135">
        <f t="shared" si="20"/>
        <v>0</v>
      </c>
      <c r="AG135">
        <f t="shared" si="20"/>
        <v>0</v>
      </c>
      <c r="AH135">
        <f t="shared" si="20"/>
        <v>0</v>
      </c>
      <c r="AI135">
        <f t="shared" si="20"/>
        <v>0</v>
      </c>
      <c r="AJ135">
        <f t="shared" si="20"/>
        <v>0</v>
      </c>
      <c r="AK135">
        <f t="shared" si="20"/>
        <v>0</v>
      </c>
      <c r="AL135">
        <f t="shared" si="20"/>
        <v>0</v>
      </c>
      <c r="AM135">
        <f t="shared" si="20"/>
        <v>0</v>
      </c>
      <c r="AN135">
        <f t="shared" si="20"/>
        <v>0</v>
      </c>
      <c r="AO135">
        <f t="shared" si="20"/>
        <v>0</v>
      </c>
      <c r="AP135">
        <f t="shared" si="20"/>
        <v>0</v>
      </c>
      <c r="AQ135">
        <f t="shared" si="20"/>
        <v>0</v>
      </c>
      <c r="AR135">
        <f t="shared" si="20"/>
        <v>0</v>
      </c>
      <c r="AS135">
        <f t="shared" si="20"/>
        <v>0</v>
      </c>
      <c r="AT135">
        <f t="shared" si="20"/>
        <v>0</v>
      </c>
      <c r="AU135">
        <f t="shared" si="20"/>
        <v>0</v>
      </c>
      <c r="AV135">
        <f t="shared" si="20"/>
        <v>0</v>
      </c>
      <c r="AW135">
        <f t="shared" si="20"/>
        <v>0</v>
      </c>
      <c r="AX135">
        <f t="shared" si="20"/>
        <v>0</v>
      </c>
      <c r="AY135">
        <f t="shared" si="20"/>
        <v>0</v>
      </c>
      <c r="AZ135">
        <f t="shared" si="20"/>
        <v>0</v>
      </c>
      <c r="BA135">
        <f t="shared" si="20"/>
        <v>0</v>
      </c>
      <c r="BB135">
        <f t="shared" si="20"/>
        <v>0</v>
      </c>
      <c r="BC135">
        <f t="shared" si="20"/>
        <v>0</v>
      </c>
      <c r="BD135">
        <f t="shared" si="19"/>
        <v>35</v>
      </c>
    </row>
    <row r="136" spans="1:56">
      <c r="B136" t="s">
        <v>155</v>
      </c>
      <c r="C136">
        <f t="shared" ref="C136:BC136" si="21">COUNTIF(C4:C59, "rSLUH4")</f>
        <v>0</v>
      </c>
      <c r="D136">
        <f t="shared" si="21"/>
        <v>0</v>
      </c>
      <c r="E136">
        <f t="shared" si="21"/>
        <v>1</v>
      </c>
      <c r="F136">
        <f t="shared" si="21"/>
        <v>1</v>
      </c>
      <c r="G136">
        <f t="shared" si="21"/>
        <v>1</v>
      </c>
      <c r="H136">
        <f t="shared" si="21"/>
        <v>1</v>
      </c>
      <c r="I136">
        <f t="shared" si="21"/>
        <v>1</v>
      </c>
      <c r="J136">
        <f t="shared" si="21"/>
        <v>1</v>
      </c>
      <c r="K136">
        <f t="shared" si="21"/>
        <v>1</v>
      </c>
      <c r="L136">
        <f t="shared" si="21"/>
        <v>1</v>
      </c>
      <c r="M136">
        <f t="shared" si="21"/>
        <v>1</v>
      </c>
      <c r="N136">
        <f t="shared" si="21"/>
        <v>1</v>
      </c>
      <c r="O136">
        <f t="shared" si="21"/>
        <v>1</v>
      </c>
      <c r="P136">
        <f t="shared" si="21"/>
        <v>1</v>
      </c>
      <c r="Q136">
        <f t="shared" si="21"/>
        <v>1</v>
      </c>
      <c r="R136">
        <f t="shared" si="21"/>
        <v>1</v>
      </c>
      <c r="S136">
        <f t="shared" si="21"/>
        <v>1</v>
      </c>
      <c r="T136">
        <f t="shared" si="21"/>
        <v>1</v>
      </c>
      <c r="U136">
        <f t="shared" si="21"/>
        <v>1</v>
      </c>
      <c r="V136">
        <f t="shared" si="21"/>
        <v>1</v>
      </c>
      <c r="W136">
        <f t="shared" si="21"/>
        <v>0</v>
      </c>
      <c r="X136">
        <f t="shared" si="21"/>
        <v>0</v>
      </c>
      <c r="Y136">
        <f t="shared" si="21"/>
        <v>0</v>
      </c>
      <c r="Z136">
        <f t="shared" si="21"/>
        <v>0</v>
      </c>
      <c r="AA136">
        <f t="shared" si="21"/>
        <v>0</v>
      </c>
      <c r="AB136">
        <f t="shared" si="21"/>
        <v>0</v>
      </c>
      <c r="AC136">
        <f t="shared" si="21"/>
        <v>0</v>
      </c>
      <c r="AD136">
        <f t="shared" si="21"/>
        <v>0</v>
      </c>
      <c r="AE136">
        <f t="shared" si="21"/>
        <v>0</v>
      </c>
      <c r="AF136">
        <f t="shared" si="21"/>
        <v>0</v>
      </c>
      <c r="AG136">
        <f t="shared" si="21"/>
        <v>0</v>
      </c>
      <c r="AH136">
        <f t="shared" si="21"/>
        <v>0</v>
      </c>
      <c r="AI136">
        <f t="shared" si="21"/>
        <v>0</v>
      </c>
      <c r="AJ136">
        <f t="shared" si="21"/>
        <v>0</v>
      </c>
      <c r="AK136">
        <f t="shared" si="21"/>
        <v>0</v>
      </c>
      <c r="AL136">
        <f t="shared" si="21"/>
        <v>0</v>
      </c>
      <c r="AM136">
        <f t="shared" si="21"/>
        <v>0</v>
      </c>
      <c r="AN136">
        <f t="shared" si="21"/>
        <v>0</v>
      </c>
      <c r="AO136">
        <f t="shared" si="21"/>
        <v>0</v>
      </c>
      <c r="AP136">
        <f t="shared" si="21"/>
        <v>0</v>
      </c>
      <c r="AQ136">
        <f t="shared" si="21"/>
        <v>0</v>
      </c>
      <c r="AR136">
        <f t="shared" si="21"/>
        <v>0</v>
      </c>
      <c r="AS136">
        <f t="shared" si="21"/>
        <v>0</v>
      </c>
      <c r="AT136">
        <f t="shared" si="21"/>
        <v>0</v>
      </c>
      <c r="AU136">
        <f t="shared" si="21"/>
        <v>0</v>
      </c>
      <c r="AV136">
        <f t="shared" si="21"/>
        <v>0</v>
      </c>
      <c r="AW136">
        <f t="shared" si="21"/>
        <v>0</v>
      </c>
      <c r="AX136">
        <f t="shared" si="21"/>
        <v>0</v>
      </c>
      <c r="AY136">
        <f t="shared" si="21"/>
        <v>0</v>
      </c>
      <c r="AZ136">
        <f t="shared" si="21"/>
        <v>0</v>
      </c>
      <c r="BA136">
        <f t="shared" si="21"/>
        <v>0</v>
      </c>
      <c r="BB136">
        <f t="shared" si="21"/>
        <v>0</v>
      </c>
      <c r="BC136">
        <f t="shared" si="21"/>
        <v>0</v>
      </c>
      <c r="BD136">
        <f t="shared" si="19"/>
        <v>35</v>
      </c>
    </row>
    <row r="137" spans="1:56">
      <c r="B137" s="13" t="s">
        <v>156</v>
      </c>
      <c r="C137">
        <f t="shared" ref="C137:BC137" si="22">COUNTIF(C4:C59, "rSLUH5")</f>
        <v>0</v>
      </c>
      <c r="D137">
        <f t="shared" si="22"/>
        <v>1</v>
      </c>
      <c r="E137">
        <f t="shared" si="22"/>
        <v>1</v>
      </c>
      <c r="F137">
        <f t="shared" si="22"/>
        <v>1</v>
      </c>
      <c r="G137">
        <f t="shared" si="22"/>
        <v>1</v>
      </c>
      <c r="H137">
        <f t="shared" si="22"/>
        <v>1</v>
      </c>
      <c r="I137">
        <f t="shared" si="22"/>
        <v>1</v>
      </c>
      <c r="J137">
        <f t="shared" si="22"/>
        <v>1</v>
      </c>
      <c r="K137">
        <f t="shared" si="22"/>
        <v>1</v>
      </c>
      <c r="L137">
        <f t="shared" si="22"/>
        <v>1</v>
      </c>
      <c r="M137">
        <f t="shared" si="22"/>
        <v>1</v>
      </c>
      <c r="N137">
        <f t="shared" si="22"/>
        <v>1</v>
      </c>
      <c r="O137">
        <f t="shared" si="22"/>
        <v>1</v>
      </c>
      <c r="P137">
        <f t="shared" si="22"/>
        <v>1</v>
      </c>
      <c r="Q137">
        <f t="shared" si="22"/>
        <v>1</v>
      </c>
      <c r="R137">
        <f t="shared" si="22"/>
        <v>1</v>
      </c>
      <c r="S137">
        <f t="shared" si="22"/>
        <v>1</v>
      </c>
      <c r="T137">
        <f t="shared" si="22"/>
        <v>1</v>
      </c>
      <c r="U137">
        <f t="shared" si="22"/>
        <v>1</v>
      </c>
      <c r="V137">
        <f t="shared" si="22"/>
        <v>1</v>
      </c>
      <c r="W137">
        <f t="shared" si="22"/>
        <v>1</v>
      </c>
      <c r="X137">
        <f t="shared" si="22"/>
        <v>0</v>
      </c>
      <c r="Y137">
        <f t="shared" si="22"/>
        <v>0</v>
      </c>
      <c r="Z137">
        <f t="shared" si="22"/>
        <v>0</v>
      </c>
      <c r="AA137">
        <f t="shared" si="22"/>
        <v>0</v>
      </c>
      <c r="AB137">
        <f t="shared" si="22"/>
        <v>0</v>
      </c>
      <c r="AC137">
        <f t="shared" si="22"/>
        <v>0</v>
      </c>
      <c r="AD137">
        <f t="shared" si="22"/>
        <v>0</v>
      </c>
      <c r="AE137">
        <f t="shared" si="22"/>
        <v>0</v>
      </c>
      <c r="AF137">
        <f t="shared" si="22"/>
        <v>0</v>
      </c>
      <c r="AG137">
        <f t="shared" si="22"/>
        <v>0</v>
      </c>
      <c r="AH137">
        <f t="shared" si="22"/>
        <v>0</v>
      </c>
      <c r="AI137">
        <f t="shared" si="22"/>
        <v>0</v>
      </c>
      <c r="AJ137">
        <f t="shared" si="22"/>
        <v>0</v>
      </c>
      <c r="AK137">
        <f t="shared" si="22"/>
        <v>0</v>
      </c>
      <c r="AL137">
        <f t="shared" si="22"/>
        <v>0</v>
      </c>
      <c r="AM137">
        <f t="shared" si="22"/>
        <v>0</v>
      </c>
      <c r="AN137">
        <f t="shared" si="22"/>
        <v>0</v>
      </c>
      <c r="AO137">
        <f t="shared" si="22"/>
        <v>0</v>
      </c>
      <c r="AP137">
        <f t="shared" si="22"/>
        <v>0</v>
      </c>
      <c r="AQ137">
        <f t="shared" si="22"/>
        <v>0</v>
      </c>
      <c r="AR137">
        <f t="shared" si="22"/>
        <v>0</v>
      </c>
      <c r="AS137">
        <f t="shared" si="22"/>
        <v>0</v>
      </c>
      <c r="AT137">
        <f t="shared" si="22"/>
        <v>0</v>
      </c>
      <c r="AU137">
        <f t="shared" si="22"/>
        <v>0</v>
      </c>
      <c r="AV137">
        <f t="shared" si="22"/>
        <v>0</v>
      </c>
      <c r="AW137">
        <f t="shared" si="22"/>
        <v>0</v>
      </c>
      <c r="AX137">
        <f t="shared" si="22"/>
        <v>0</v>
      </c>
      <c r="AY137">
        <f t="shared" si="22"/>
        <v>0</v>
      </c>
      <c r="AZ137">
        <f t="shared" si="22"/>
        <v>0</v>
      </c>
      <c r="BA137">
        <f t="shared" si="22"/>
        <v>0</v>
      </c>
      <c r="BB137">
        <f t="shared" si="22"/>
        <v>0</v>
      </c>
      <c r="BC137">
        <f t="shared" si="22"/>
        <v>0</v>
      </c>
      <c r="BD137">
        <f t="shared" si="19"/>
        <v>33</v>
      </c>
    </row>
    <row r="138" spans="1:56">
      <c r="B138" s="13" t="s">
        <v>157</v>
      </c>
      <c r="C138">
        <f t="shared" ref="C138:BC138" si="23">COUNTIF(C4:C59, "rSLUH6")</f>
        <v>0</v>
      </c>
      <c r="D138">
        <f t="shared" si="23"/>
        <v>0</v>
      </c>
      <c r="E138">
        <f t="shared" si="23"/>
        <v>0</v>
      </c>
      <c r="F138">
        <f t="shared" si="23"/>
        <v>1</v>
      </c>
      <c r="G138">
        <f t="shared" si="23"/>
        <v>1</v>
      </c>
      <c r="H138">
        <f t="shared" si="23"/>
        <v>1</v>
      </c>
      <c r="I138">
        <f t="shared" si="23"/>
        <v>1</v>
      </c>
      <c r="J138">
        <f t="shared" si="23"/>
        <v>1</v>
      </c>
      <c r="K138">
        <f t="shared" si="23"/>
        <v>1</v>
      </c>
      <c r="L138">
        <f t="shared" si="23"/>
        <v>1</v>
      </c>
      <c r="M138">
        <f t="shared" si="23"/>
        <v>1</v>
      </c>
      <c r="N138">
        <f t="shared" si="23"/>
        <v>1</v>
      </c>
      <c r="O138">
        <f t="shared" si="23"/>
        <v>1</v>
      </c>
      <c r="P138">
        <f t="shared" si="23"/>
        <v>1</v>
      </c>
      <c r="Q138">
        <f t="shared" si="23"/>
        <v>1</v>
      </c>
      <c r="R138">
        <f t="shared" si="23"/>
        <v>1</v>
      </c>
      <c r="S138">
        <f t="shared" si="23"/>
        <v>1</v>
      </c>
      <c r="T138">
        <f t="shared" si="23"/>
        <v>1</v>
      </c>
      <c r="U138">
        <f t="shared" si="23"/>
        <v>1</v>
      </c>
      <c r="V138">
        <f t="shared" si="23"/>
        <v>1</v>
      </c>
      <c r="W138">
        <f t="shared" si="23"/>
        <v>1</v>
      </c>
      <c r="X138">
        <f t="shared" si="23"/>
        <v>0</v>
      </c>
      <c r="Y138">
        <f t="shared" si="23"/>
        <v>0</v>
      </c>
      <c r="Z138">
        <f t="shared" si="23"/>
        <v>0</v>
      </c>
      <c r="AA138">
        <f t="shared" si="23"/>
        <v>0</v>
      </c>
      <c r="AB138">
        <f t="shared" si="23"/>
        <v>0</v>
      </c>
      <c r="AC138">
        <f t="shared" si="23"/>
        <v>0</v>
      </c>
      <c r="AD138">
        <f t="shared" si="23"/>
        <v>0</v>
      </c>
      <c r="AE138">
        <f t="shared" si="23"/>
        <v>0</v>
      </c>
      <c r="AF138">
        <f t="shared" si="23"/>
        <v>0</v>
      </c>
      <c r="AG138">
        <f t="shared" si="23"/>
        <v>0</v>
      </c>
      <c r="AH138">
        <f t="shared" si="23"/>
        <v>0</v>
      </c>
      <c r="AI138">
        <f t="shared" si="23"/>
        <v>0</v>
      </c>
      <c r="AJ138">
        <f t="shared" si="23"/>
        <v>0</v>
      </c>
      <c r="AK138">
        <f t="shared" si="23"/>
        <v>0</v>
      </c>
      <c r="AL138">
        <f t="shared" si="23"/>
        <v>0</v>
      </c>
      <c r="AM138">
        <f t="shared" si="23"/>
        <v>0</v>
      </c>
      <c r="AN138">
        <f t="shared" si="23"/>
        <v>0</v>
      </c>
      <c r="AO138">
        <f t="shared" si="23"/>
        <v>0</v>
      </c>
      <c r="AP138">
        <f t="shared" si="23"/>
        <v>0</v>
      </c>
      <c r="AQ138">
        <f t="shared" si="23"/>
        <v>0</v>
      </c>
      <c r="AR138">
        <f t="shared" si="23"/>
        <v>0</v>
      </c>
      <c r="AS138">
        <f t="shared" si="23"/>
        <v>0</v>
      </c>
      <c r="AT138">
        <f t="shared" si="23"/>
        <v>0</v>
      </c>
      <c r="AU138">
        <f t="shared" si="23"/>
        <v>0</v>
      </c>
      <c r="AV138">
        <f t="shared" si="23"/>
        <v>0</v>
      </c>
      <c r="AW138">
        <f t="shared" si="23"/>
        <v>0</v>
      </c>
      <c r="AX138">
        <f t="shared" si="23"/>
        <v>0</v>
      </c>
      <c r="AY138">
        <f t="shared" si="23"/>
        <v>0</v>
      </c>
      <c r="AZ138">
        <f t="shared" si="23"/>
        <v>0</v>
      </c>
      <c r="BA138">
        <f t="shared" si="23"/>
        <v>0</v>
      </c>
      <c r="BB138">
        <f t="shared" si="23"/>
        <v>0</v>
      </c>
      <c r="BC138">
        <f t="shared" si="23"/>
        <v>0</v>
      </c>
      <c r="BD138">
        <f t="shared" si="19"/>
        <v>35</v>
      </c>
    </row>
    <row r="140" spans="1:56">
      <c r="B140" s="8" t="s">
        <v>158</v>
      </c>
      <c r="C140">
        <f t="shared" ref="C140:BC140" si="24">SUM(C141:C145)</f>
        <v>0</v>
      </c>
      <c r="D140">
        <f t="shared" si="24"/>
        <v>2</v>
      </c>
      <c r="E140">
        <f t="shared" si="24"/>
        <v>4</v>
      </c>
      <c r="F140">
        <f t="shared" si="24"/>
        <v>5</v>
      </c>
      <c r="G140">
        <f t="shared" si="24"/>
        <v>5</v>
      </c>
      <c r="H140">
        <f t="shared" si="24"/>
        <v>5</v>
      </c>
      <c r="I140">
        <f t="shared" si="24"/>
        <v>5</v>
      </c>
      <c r="J140">
        <f t="shared" si="24"/>
        <v>5</v>
      </c>
      <c r="K140">
        <f t="shared" si="24"/>
        <v>5</v>
      </c>
      <c r="L140">
        <f t="shared" si="24"/>
        <v>5</v>
      </c>
      <c r="M140">
        <f t="shared" si="24"/>
        <v>5</v>
      </c>
      <c r="N140">
        <f t="shared" si="24"/>
        <v>5</v>
      </c>
      <c r="O140">
        <f t="shared" si="24"/>
        <v>5</v>
      </c>
      <c r="P140">
        <f t="shared" si="24"/>
        <v>5</v>
      </c>
      <c r="Q140">
        <f t="shared" si="24"/>
        <v>5</v>
      </c>
      <c r="R140">
        <f t="shared" si="24"/>
        <v>5</v>
      </c>
      <c r="S140">
        <f t="shared" si="24"/>
        <v>5</v>
      </c>
      <c r="T140">
        <f t="shared" si="24"/>
        <v>5</v>
      </c>
      <c r="U140">
        <f t="shared" si="24"/>
        <v>5</v>
      </c>
      <c r="V140">
        <f t="shared" si="24"/>
        <v>4</v>
      </c>
      <c r="W140">
        <f t="shared" si="24"/>
        <v>2</v>
      </c>
      <c r="X140">
        <f t="shared" si="24"/>
        <v>0</v>
      </c>
      <c r="Y140">
        <f t="shared" si="24"/>
        <v>0</v>
      </c>
      <c r="Z140">
        <f t="shared" si="24"/>
        <v>0</v>
      </c>
      <c r="AA140">
        <f t="shared" si="24"/>
        <v>0</v>
      </c>
      <c r="AB140">
        <f t="shared" si="24"/>
        <v>0</v>
      </c>
      <c r="AC140">
        <f t="shared" si="24"/>
        <v>0</v>
      </c>
      <c r="AD140">
        <f t="shared" si="24"/>
        <v>0</v>
      </c>
      <c r="AE140">
        <f t="shared" si="24"/>
        <v>0</v>
      </c>
      <c r="AF140">
        <f t="shared" si="24"/>
        <v>0</v>
      </c>
      <c r="AG140">
        <f t="shared" si="24"/>
        <v>0</v>
      </c>
      <c r="AH140">
        <f t="shared" si="24"/>
        <v>0</v>
      </c>
      <c r="AI140">
        <f t="shared" si="24"/>
        <v>0</v>
      </c>
      <c r="AJ140">
        <f t="shared" si="24"/>
        <v>0</v>
      </c>
      <c r="AK140">
        <f t="shared" si="24"/>
        <v>0</v>
      </c>
      <c r="AL140">
        <f t="shared" si="24"/>
        <v>0</v>
      </c>
      <c r="AM140">
        <f t="shared" si="24"/>
        <v>0</v>
      </c>
      <c r="AN140">
        <f t="shared" si="24"/>
        <v>0</v>
      </c>
      <c r="AO140">
        <f t="shared" si="24"/>
        <v>0</v>
      </c>
      <c r="AP140">
        <f t="shared" si="24"/>
        <v>0</v>
      </c>
      <c r="AQ140">
        <f t="shared" si="24"/>
        <v>0</v>
      </c>
      <c r="AR140">
        <f t="shared" si="24"/>
        <v>0</v>
      </c>
      <c r="AS140">
        <f t="shared" si="24"/>
        <v>0</v>
      </c>
      <c r="AT140">
        <f t="shared" si="24"/>
        <v>0</v>
      </c>
      <c r="AU140">
        <f t="shared" si="24"/>
        <v>0</v>
      </c>
      <c r="AV140">
        <f t="shared" si="24"/>
        <v>0</v>
      </c>
      <c r="AW140">
        <f t="shared" si="24"/>
        <v>0</v>
      </c>
      <c r="AX140">
        <f t="shared" si="24"/>
        <v>0</v>
      </c>
      <c r="AY140">
        <f t="shared" si="24"/>
        <v>0</v>
      </c>
      <c r="AZ140">
        <f t="shared" si="24"/>
        <v>0</v>
      </c>
      <c r="BA140">
        <f t="shared" si="24"/>
        <v>0</v>
      </c>
      <c r="BB140">
        <f t="shared" si="24"/>
        <v>0</v>
      </c>
      <c r="BC140">
        <f t="shared" si="24"/>
        <v>0</v>
      </c>
    </row>
    <row r="141" spans="1:56">
      <c r="B141" t="s">
        <v>159</v>
      </c>
      <c r="C141">
        <f t="shared" ref="C141:BC141" si="25">COUNTIF(C4:C59, "rVA1")</f>
        <v>0</v>
      </c>
      <c r="D141">
        <f t="shared" si="25"/>
        <v>1</v>
      </c>
      <c r="E141">
        <f t="shared" si="25"/>
        <v>1</v>
      </c>
      <c r="F141">
        <f t="shared" si="25"/>
        <v>1</v>
      </c>
      <c r="G141">
        <f t="shared" si="25"/>
        <v>1</v>
      </c>
      <c r="H141">
        <f t="shared" si="25"/>
        <v>1</v>
      </c>
      <c r="I141">
        <f t="shared" si="25"/>
        <v>1</v>
      </c>
      <c r="J141">
        <f t="shared" si="25"/>
        <v>1</v>
      </c>
      <c r="K141">
        <f t="shared" si="25"/>
        <v>1</v>
      </c>
      <c r="L141">
        <f t="shared" si="25"/>
        <v>1</v>
      </c>
      <c r="M141">
        <f t="shared" si="25"/>
        <v>1</v>
      </c>
      <c r="N141">
        <f t="shared" si="25"/>
        <v>1</v>
      </c>
      <c r="O141">
        <f t="shared" si="25"/>
        <v>1</v>
      </c>
      <c r="P141">
        <f t="shared" si="25"/>
        <v>1</v>
      </c>
      <c r="Q141">
        <f t="shared" si="25"/>
        <v>1</v>
      </c>
      <c r="R141">
        <f t="shared" si="25"/>
        <v>1</v>
      </c>
      <c r="S141">
        <f t="shared" si="25"/>
        <v>1</v>
      </c>
      <c r="T141">
        <f t="shared" si="25"/>
        <v>1</v>
      </c>
      <c r="U141">
        <f t="shared" si="25"/>
        <v>1</v>
      </c>
      <c r="V141">
        <f t="shared" si="25"/>
        <v>1</v>
      </c>
      <c r="W141">
        <f t="shared" si="25"/>
        <v>1</v>
      </c>
      <c r="X141">
        <f t="shared" si="25"/>
        <v>0</v>
      </c>
      <c r="Y141">
        <f t="shared" si="25"/>
        <v>0</v>
      </c>
      <c r="Z141">
        <f t="shared" si="25"/>
        <v>0</v>
      </c>
      <c r="AA141">
        <f t="shared" si="25"/>
        <v>0</v>
      </c>
      <c r="AB141">
        <f t="shared" si="25"/>
        <v>0</v>
      </c>
      <c r="AC141">
        <f t="shared" si="25"/>
        <v>0</v>
      </c>
      <c r="AD141">
        <f t="shared" si="25"/>
        <v>0</v>
      </c>
      <c r="AE141">
        <f t="shared" si="25"/>
        <v>0</v>
      </c>
      <c r="AF141">
        <f t="shared" si="25"/>
        <v>0</v>
      </c>
      <c r="AG141">
        <f t="shared" si="25"/>
        <v>0</v>
      </c>
      <c r="AH141">
        <f t="shared" si="25"/>
        <v>0</v>
      </c>
      <c r="AI141">
        <f t="shared" si="25"/>
        <v>0</v>
      </c>
      <c r="AJ141">
        <f t="shared" si="25"/>
        <v>0</v>
      </c>
      <c r="AK141">
        <f t="shared" si="25"/>
        <v>0</v>
      </c>
      <c r="AL141">
        <f t="shared" si="25"/>
        <v>0</v>
      </c>
      <c r="AM141">
        <f t="shared" si="25"/>
        <v>0</v>
      </c>
      <c r="AN141">
        <f t="shared" si="25"/>
        <v>0</v>
      </c>
      <c r="AO141">
        <f t="shared" si="25"/>
        <v>0</v>
      </c>
      <c r="AP141">
        <f t="shared" si="25"/>
        <v>0</v>
      </c>
      <c r="AQ141">
        <f t="shared" si="25"/>
        <v>0</v>
      </c>
      <c r="AR141">
        <f t="shared" si="25"/>
        <v>0</v>
      </c>
      <c r="AS141">
        <f t="shared" si="25"/>
        <v>0</v>
      </c>
      <c r="AT141">
        <f t="shared" si="25"/>
        <v>0</v>
      </c>
      <c r="AU141">
        <f t="shared" si="25"/>
        <v>0</v>
      </c>
      <c r="AV141">
        <f t="shared" si="25"/>
        <v>0</v>
      </c>
      <c r="AW141">
        <f t="shared" si="25"/>
        <v>0</v>
      </c>
      <c r="AX141">
        <f t="shared" si="25"/>
        <v>0</v>
      </c>
      <c r="AY141">
        <f t="shared" si="25"/>
        <v>0</v>
      </c>
      <c r="AZ141">
        <f t="shared" si="25"/>
        <v>0</v>
      </c>
      <c r="BA141">
        <f t="shared" si="25"/>
        <v>0</v>
      </c>
      <c r="BB141">
        <f t="shared" si="25"/>
        <v>0</v>
      </c>
      <c r="BC141">
        <f t="shared" si="25"/>
        <v>0</v>
      </c>
      <c r="BD141">
        <f t="shared" ref="BD141:BD145" si="26">COUNTIF(C141:BC141, "0")</f>
        <v>33</v>
      </c>
    </row>
    <row r="142" spans="1:56">
      <c r="B142" t="s">
        <v>160</v>
      </c>
      <c r="C142">
        <f t="shared" ref="C142:BC142" si="27">COUNTIF(C4:C59, "rVA2")</f>
        <v>0</v>
      </c>
      <c r="D142">
        <f t="shared" si="27"/>
        <v>0</v>
      </c>
      <c r="E142">
        <f t="shared" si="27"/>
        <v>1</v>
      </c>
      <c r="F142">
        <f t="shared" si="27"/>
        <v>1</v>
      </c>
      <c r="G142">
        <f t="shared" si="27"/>
        <v>1</v>
      </c>
      <c r="H142">
        <f t="shared" si="27"/>
        <v>1</v>
      </c>
      <c r="I142">
        <f t="shared" si="27"/>
        <v>1</v>
      </c>
      <c r="J142">
        <f t="shared" si="27"/>
        <v>1</v>
      </c>
      <c r="K142">
        <f t="shared" si="27"/>
        <v>1</v>
      </c>
      <c r="L142">
        <f t="shared" si="27"/>
        <v>1</v>
      </c>
      <c r="M142">
        <f t="shared" si="27"/>
        <v>1</v>
      </c>
      <c r="N142">
        <f t="shared" si="27"/>
        <v>1</v>
      </c>
      <c r="O142">
        <f t="shared" si="27"/>
        <v>1</v>
      </c>
      <c r="P142">
        <f t="shared" si="27"/>
        <v>1</v>
      </c>
      <c r="Q142">
        <f t="shared" si="27"/>
        <v>1</v>
      </c>
      <c r="R142">
        <f t="shared" si="27"/>
        <v>1</v>
      </c>
      <c r="S142">
        <f t="shared" si="27"/>
        <v>1</v>
      </c>
      <c r="T142">
        <f t="shared" si="27"/>
        <v>1</v>
      </c>
      <c r="U142">
        <f t="shared" si="27"/>
        <v>1</v>
      </c>
      <c r="V142">
        <f t="shared" si="27"/>
        <v>1</v>
      </c>
      <c r="W142">
        <f t="shared" si="27"/>
        <v>0</v>
      </c>
      <c r="X142">
        <f t="shared" si="27"/>
        <v>0</v>
      </c>
      <c r="Y142">
        <f t="shared" si="27"/>
        <v>0</v>
      </c>
      <c r="Z142">
        <f t="shared" si="27"/>
        <v>0</v>
      </c>
      <c r="AA142">
        <f t="shared" si="27"/>
        <v>0</v>
      </c>
      <c r="AB142">
        <f t="shared" si="27"/>
        <v>0</v>
      </c>
      <c r="AC142">
        <f t="shared" si="27"/>
        <v>0</v>
      </c>
      <c r="AD142">
        <f t="shared" si="27"/>
        <v>0</v>
      </c>
      <c r="AE142">
        <f t="shared" si="27"/>
        <v>0</v>
      </c>
      <c r="AF142">
        <f t="shared" si="27"/>
        <v>0</v>
      </c>
      <c r="AG142">
        <f t="shared" si="27"/>
        <v>0</v>
      </c>
      <c r="AH142">
        <f t="shared" si="27"/>
        <v>0</v>
      </c>
      <c r="AI142">
        <f t="shared" si="27"/>
        <v>0</v>
      </c>
      <c r="AJ142">
        <f t="shared" si="27"/>
        <v>0</v>
      </c>
      <c r="AK142">
        <f t="shared" si="27"/>
        <v>0</v>
      </c>
      <c r="AL142">
        <f t="shared" si="27"/>
        <v>0</v>
      </c>
      <c r="AM142">
        <f t="shared" si="27"/>
        <v>0</v>
      </c>
      <c r="AN142">
        <f t="shared" si="27"/>
        <v>0</v>
      </c>
      <c r="AO142">
        <f t="shared" si="27"/>
        <v>0</v>
      </c>
      <c r="AP142">
        <f t="shared" si="27"/>
        <v>0</v>
      </c>
      <c r="AQ142">
        <f t="shared" si="27"/>
        <v>0</v>
      </c>
      <c r="AR142">
        <f t="shared" si="27"/>
        <v>0</v>
      </c>
      <c r="AS142">
        <f t="shared" si="27"/>
        <v>0</v>
      </c>
      <c r="AT142">
        <f t="shared" si="27"/>
        <v>0</v>
      </c>
      <c r="AU142">
        <f t="shared" si="27"/>
        <v>0</v>
      </c>
      <c r="AV142">
        <f t="shared" si="27"/>
        <v>0</v>
      </c>
      <c r="AW142">
        <f t="shared" si="27"/>
        <v>0</v>
      </c>
      <c r="AX142">
        <f t="shared" si="27"/>
        <v>0</v>
      </c>
      <c r="AY142">
        <f t="shared" si="27"/>
        <v>0</v>
      </c>
      <c r="AZ142">
        <f t="shared" si="27"/>
        <v>0</v>
      </c>
      <c r="BA142">
        <f t="shared" si="27"/>
        <v>0</v>
      </c>
      <c r="BB142">
        <f t="shared" si="27"/>
        <v>0</v>
      </c>
      <c r="BC142">
        <f t="shared" si="27"/>
        <v>0</v>
      </c>
      <c r="BD142">
        <f t="shared" si="26"/>
        <v>35</v>
      </c>
    </row>
    <row r="143" spans="1:56">
      <c r="B143" t="s">
        <v>161</v>
      </c>
      <c r="C143">
        <f t="shared" ref="C143:BC143" si="28">COUNTIF(C4:C59, "rVA3")</f>
        <v>0</v>
      </c>
      <c r="D143">
        <f t="shared" si="28"/>
        <v>0</v>
      </c>
      <c r="E143">
        <f t="shared" si="28"/>
        <v>1</v>
      </c>
      <c r="F143">
        <f t="shared" si="28"/>
        <v>1</v>
      </c>
      <c r="G143">
        <f t="shared" si="28"/>
        <v>1</v>
      </c>
      <c r="H143">
        <f t="shared" si="28"/>
        <v>1</v>
      </c>
      <c r="I143">
        <f t="shared" si="28"/>
        <v>1</v>
      </c>
      <c r="J143">
        <f t="shared" si="28"/>
        <v>1</v>
      </c>
      <c r="K143">
        <f t="shared" si="28"/>
        <v>1</v>
      </c>
      <c r="L143">
        <f t="shared" si="28"/>
        <v>1</v>
      </c>
      <c r="M143">
        <f t="shared" si="28"/>
        <v>1</v>
      </c>
      <c r="N143">
        <f t="shared" si="28"/>
        <v>1</v>
      </c>
      <c r="O143">
        <f t="shared" si="28"/>
        <v>1</v>
      </c>
      <c r="P143">
        <f t="shared" si="28"/>
        <v>1</v>
      </c>
      <c r="Q143">
        <f t="shared" si="28"/>
        <v>1</v>
      </c>
      <c r="R143">
        <f t="shared" si="28"/>
        <v>1</v>
      </c>
      <c r="S143">
        <f t="shared" si="28"/>
        <v>1</v>
      </c>
      <c r="T143">
        <f t="shared" si="28"/>
        <v>1</v>
      </c>
      <c r="U143">
        <f t="shared" si="28"/>
        <v>1</v>
      </c>
      <c r="V143">
        <f t="shared" si="28"/>
        <v>1</v>
      </c>
      <c r="W143">
        <f t="shared" si="28"/>
        <v>0</v>
      </c>
      <c r="X143">
        <f t="shared" si="28"/>
        <v>0</v>
      </c>
      <c r="Y143">
        <f t="shared" si="28"/>
        <v>0</v>
      </c>
      <c r="Z143">
        <f t="shared" si="28"/>
        <v>0</v>
      </c>
      <c r="AA143">
        <f t="shared" si="28"/>
        <v>0</v>
      </c>
      <c r="AB143">
        <f t="shared" si="28"/>
        <v>0</v>
      </c>
      <c r="AC143">
        <f t="shared" si="28"/>
        <v>0</v>
      </c>
      <c r="AD143">
        <f t="shared" si="28"/>
        <v>0</v>
      </c>
      <c r="AE143">
        <f t="shared" si="28"/>
        <v>0</v>
      </c>
      <c r="AF143">
        <f t="shared" si="28"/>
        <v>0</v>
      </c>
      <c r="AG143">
        <f t="shared" si="28"/>
        <v>0</v>
      </c>
      <c r="AH143">
        <f t="shared" si="28"/>
        <v>0</v>
      </c>
      <c r="AI143">
        <f t="shared" si="28"/>
        <v>0</v>
      </c>
      <c r="AJ143">
        <f t="shared" si="28"/>
        <v>0</v>
      </c>
      <c r="AK143">
        <f t="shared" si="28"/>
        <v>0</v>
      </c>
      <c r="AL143">
        <f t="shared" si="28"/>
        <v>0</v>
      </c>
      <c r="AM143">
        <f t="shared" si="28"/>
        <v>0</v>
      </c>
      <c r="AN143">
        <f t="shared" si="28"/>
        <v>0</v>
      </c>
      <c r="AO143">
        <f t="shared" si="28"/>
        <v>0</v>
      </c>
      <c r="AP143">
        <f t="shared" si="28"/>
        <v>0</v>
      </c>
      <c r="AQ143">
        <f t="shared" si="28"/>
        <v>0</v>
      </c>
      <c r="AR143">
        <f t="shared" si="28"/>
        <v>0</v>
      </c>
      <c r="AS143">
        <f t="shared" si="28"/>
        <v>0</v>
      </c>
      <c r="AT143">
        <f t="shared" si="28"/>
        <v>0</v>
      </c>
      <c r="AU143">
        <f t="shared" si="28"/>
        <v>0</v>
      </c>
      <c r="AV143">
        <f t="shared" si="28"/>
        <v>0</v>
      </c>
      <c r="AW143">
        <f t="shared" si="28"/>
        <v>0</v>
      </c>
      <c r="AX143">
        <f t="shared" si="28"/>
        <v>0</v>
      </c>
      <c r="AY143">
        <f t="shared" si="28"/>
        <v>0</v>
      </c>
      <c r="AZ143">
        <f t="shared" si="28"/>
        <v>0</v>
      </c>
      <c r="BA143">
        <f t="shared" si="28"/>
        <v>0</v>
      </c>
      <c r="BB143">
        <f t="shared" si="28"/>
        <v>0</v>
      </c>
      <c r="BC143">
        <f t="shared" si="28"/>
        <v>0</v>
      </c>
      <c r="BD143">
        <f t="shared" si="26"/>
        <v>35</v>
      </c>
    </row>
    <row r="144" spans="1:56">
      <c r="B144" t="s">
        <v>162</v>
      </c>
      <c r="C144">
        <f t="shared" ref="C144:BC144" si="29">COUNTIF(C4:C59, "rVA4")</f>
        <v>0</v>
      </c>
      <c r="D144">
        <f t="shared" si="29"/>
        <v>0</v>
      </c>
      <c r="E144">
        <f t="shared" si="29"/>
        <v>0</v>
      </c>
      <c r="F144">
        <f t="shared" si="29"/>
        <v>1</v>
      </c>
      <c r="G144">
        <f t="shared" si="29"/>
        <v>1</v>
      </c>
      <c r="H144">
        <f t="shared" si="29"/>
        <v>1</v>
      </c>
      <c r="I144">
        <f t="shared" si="29"/>
        <v>1</v>
      </c>
      <c r="J144">
        <f t="shared" si="29"/>
        <v>1</v>
      </c>
      <c r="K144">
        <f t="shared" si="29"/>
        <v>1</v>
      </c>
      <c r="L144">
        <f t="shared" si="29"/>
        <v>1</v>
      </c>
      <c r="M144">
        <f t="shared" si="29"/>
        <v>1</v>
      </c>
      <c r="N144">
        <f t="shared" si="29"/>
        <v>1</v>
      </c>
      <c r="O144">
        <f t="shared" si="29"/>
        <v>1</v>
      </c>
      <c r="P144">
        <f t="shared" si="29"/>
        <v>1</v>
      </c>
      <c r="Q144">
        <f t="shared" si="29"/>
        <v>1</v>
      </c>
      <c r="R144">
        <f t="shared" si="29"/>
        <v>1</v>
      </c>
      <c r="S144">
        <f t="shared" si="29"/>
        <v>1</v>
      </c>
      <c r="T144">
        <f t="shared" si="29"/>
        <v>1</v>
      </c>
      <c r="U144">
        <f t="shared" si="29"/>
        <v>1</v>
      </c>
      <c r="V144">
        <f t="shared" si="29"/>
        <v>1</v>
      </c>
      <c r="W144">
        <f t="shared" si="29"/>
        <v>1</v>
      </c>
      <c r="X144">
        <f t="shared" si="29"/>
        <v>0</v>
      </c>
      <c r="Y144">
        <f t="shared" si="29"/>
        <v>0</v>
      </c>
      <c r="Z144">
        <f t="shared" si="29"/>
        <v>0</v>
      </c>
      <c r="AA144">
        <f t="shared" si="29"/>
        <v>0</v>
      </c>
      <c r="AB144">
        <f t="shared" si="29"/>
        <v>0</v>
      </c>
      <c r="AC144">
        <f t="shared" si="29"/>
        <v>0</v>
      </c>
      <c r="AD144">
        <f t="shared" si="29"/>
        <v>0</v>
      </c>
      <c r="AE144">
        <f t="shared" si="29"/>
        <v>0</v>
      </c>
      <c r="AF144">
        <f t="shared" si="29"/>
        <v>0</v>
      </c>
      <c r="AG144">
        <f t="shared" si="29"/>
        <v>0</v>
      </c>
      <c r="AH144">
        <f t="shared" si="29"/>
        <v>0</v>
      </c>
      <c r="AI144">
        <f t="shared" si="29"/>
        <v>0</v>
      </c>
      <c r="AJ144">
        <f t="shared" si="29"/>
        <v>0</v>
      </c>
      <c r="AK144">
        <f t="shared" si="29"/>
        <v>0</v>
      </c>
      <c r="AL144">
        <f t="shared" si="29"/>
        <v>0</v>
      </c>
      <c r="AM144">
        <f t="shared" si="29"/>
        <v>0</v>
      </c>
      <c r="AN144">
        <f t="shared" si="29"/>
        <v>0</v>
      </c>
      <c r="AO144">
        <f t="shared" si="29"/>
        <v>0</v>
      </c>
      <c r="AP144">
        <f t="shared" si="29"/>
        <v>0</v>
      </c>
      <c r="AQ144">
        <f t="shared" si="29"/>
        <v>0</v>
      </c>
      <c r="AR144">
        <f t="shared" si="29"/>
        <v>0</v>
      </c>
      <c r="AS144">
        <f t="shared" si="29"/>
        <v>0</v>
      </c>
      <c r="AT144">
        <f t="shared" si="29"/>
        <v>0</v>
      </c>
      <c r="AU144">
        <f t="shared" si="29"/>
        <v>0</v>
      </c>
      <c r="AV144">
        <f t="shared" si="29"/>
        <v>0</v>
      </c>
      <c r="AW144">
        <f t="shared" si="29"/>
        <v>0</v>
      </c>
      <c r="AX144">
        <f t="shared" si="29"/>
        <v>0</v>
      </c>
      <c r="AY144">
        <f t="shared" si="29"/>
        <v>0</v>
      </c>
      <c r="AZ144">
        <f t="shared" si="29"/>
        <v>0</v>
      </c>
      <c r="BA144">
        <f t="shared" si="29"/>
        <v>0</v>
      </c>
      <c r="BB144">
        <f t="shared" si="29"/>
        <v>0</v>
      </c>
      <c r="BC144">
        <f t="shared" si="29"/>
        <v>0</v>
      </c>
      <c r="BD144">
        <f t="shared" si="26"/>
        <v>35</v>
      </c>
    </row>
    <row r="145" spans="2:56">
      <c r="B145" t="s">
        <v>163</v>
      </c>
      <c r="C145">
        <f t="shared" ref="C145:BC145" si="30">COUNTIF(C4:C59, "rVA5")</f>
        <v>0</v>
      </c>
      <c r="D145">
        <f t="shared" si="30"/>
        <v>1</v>
      </c>
      <c r="E145">
        <f t="shared" si="30"/>
        <v>1</v>
      </c>
      <c r="F145">
        <f t="shared" si="30"/>
        <v>1</v>
      </c>
      <c r="G145">
        <f t="shared" si="30"/>
        <v>1</v>
      </c>
      <c r="H145">
        <f t="shared" si="30"/>
        <v>1</v>
      </c>
      <c r="I145">
        <f t="shared" si="30"/>
        <v>1</v>
      </c>
      <c r="J145">
        <f t="shared" si="30"/>
        <v>1</v>
      </c>
      <c r="K145">
        <f t="shared" si="30"/>
        <v>1</v>
      </c>
      <c r="L145">
        <f t="shared" si="30"/>
        <v>1</v>
      </c>
      <c r="M145">
        <f t="shared" si="30"/>
        <v>1</v>
      </c>
      <c r="N145">
        <f t="shared" si="30"/>
        <v>1</v>
      </c>
      <c r="O145">
        <f t="shared" si="30"/>
        <v>1</v>
      </c>
      <c r="P145">
        <f t="shared" si="30"/>
        <v>1</v>
      </c>
      <c r="Q145">
        <f t="shared" si="30"/>
        <v>1</v>
      </c>
      <c r="R145">
        <f t="shared" si="30"/>
        <v>1</v>
      </c>
      <c r="S145">
        <f t="shared" si="30"/>
        <v>1</v>
      </c>
      <c r="T145">
        <f t="shared" si="30"/>
        <v>1</v>
      </c>
      <c r="U145">
        <f t="shared" si="30"/>
        <v>1</v>
      </c>
      <c r="V145">
        <f t="shared" si="30"/>
        <v>0</v>
      </c>
      <c r="W145">
        <f t="shared" si="30"/>
        <v>0</v>
      </c>
      <c r="X145">
        <f t="shared" si="30"/>
        <v>0</v>
      </c>
      <c r="Y145">
        <f t="shared" si="30"/>
        <v>0</v>
      </c>
      <c r="Z145">
        <f t="shared" si="30"/>
        <v>0</v>
      </c>
      <c r="AA145">
        <f t="shared" si="30"/>
        <v>0</v>
      </c>
      <c r="AB145">
        <f t="shared" si="30"/>
        <v>0</v>
      </c>
      <c r="AC145">
        <f t="shared" si="30"/>
        <v>0</v>
      </c>
      <c r="AD145">
        <f t="shared" si="30"/>
        <v>0</v>
      </c>
      <c r="AE145">
        <f t="shared" si="30"/>
        <v>0</v>
      </c>
      <c r="AF145">
        <f t="shared" si="30"/>
        <v>0</v>
      </c>
      <c r="AG145">
        <f t="shared" si="30"/>
        <v>0</v>
      </c>
      <c r="AH145">
        <f t="shared" si="30"/>
        <v>0</v>
      </c>
      <c r="AI145">
        <f t="shared" si="30"/>
        <v>0</v>
      </c>
      <c r="AJ145">
        <f t="shared" si="30"/>
        <v>0</v>
      </c>
      <c r="AK145">
        <f t="shared" si="30"/>
        <v>0</v>
      </c>
      <c r="AL145">
        <f t="shared" si="30"/>
        <v>0</v>
      </c>
      <c r="AM145">
        <f t="shared" si="30"/>
        <v>0</v>
      </c>
      <c r="AN145">
        <f t="shared" si="30"/>
        <v>0</v>
      </c>
      <c r="AO145">
        <f t="shared" si="30"/>
        <v>0</v>
      </c>
      <c r="AP145">
        <f t="shared" si="30"/>
        <v>0</v>
      </c>
      <c r="AQ145">
        <f t="shared" si="30"/>
        <v>0</v>
      </c>
      <c r="AR145">
        <f t="shared" si="30"/>
        <v>0</v>
      </c>
      <c r="AS145">
        <f t="shared" si="30"/>
        <v>0</v>
      </c>
      <c r="AT145">
        <f t="shared" si="30"/>
        <v>0</v>
      </c>
      <c r="AU145">
        <f t="shared" si="30"/>
        <v>0</v>
      </c>
      <c r="AV145">
        <f t="shared" si="30"/>
        <v>0</v>
      </c>
      <c r="AW145">
        <f t="shared" si="30"/>
        <v>0</v>
      </c>
      <c r="AX145">
        <f t="shared" si="30"/>
        <v>0</v>
      </c>
      <c r="AY145">
        <f t="shared" si="30"/>
        <v>0</v>
      </c>
      <c r="AZ145">
        <f t="shared" si="30"/>
        <v>0</v>
      </c>
      <c r="BA145">
        <f t="shared" si="30"/>
        <v>0</v>
      </c>
      <c r="BB145">
        <f t="shared" si="30"/>
        <v>0</v>
      </c>
      <c r="BC145">
        <f t="shared" si="30"/>
        <v>0</v>
      </c>
      <c r="BD145">
        <f t="shared" si="26"/>
        <v>35</v>
      </c>
    </row>
    <row r="147" spans="2:56">
      <c r="B147" s="8" t="s">
        <v>136</v>
      </c>
      <c r="C147">
        <f t="shared" ref="C147:BC147" si="31">SUM(C148:C150)</f>
        <v>0</v>
      </c>
      <c r="D147">
        <f t="shared" si="31"/>
        <v>1</v>
      </c>
      <c r="E147">
        <f t="shared" si="31"/>
        <v>2</v>
      </c>
      <c r="F147">
        <f t="shared" si="31"/>
        <v>3</v>
      </c>
      <c r="G147">
        <f t="shared" si="31"/>
        <v>3</v>
      </c>
      <c r="H147">
        <f t="shared" si="31"/>
        <v>3</v>
      </c>
      <c r="I147">
        <f t="shared" si="31"/>
        <v>3</v>
      </c>
      <c r="J147">
        <f t="shared" si="31"/>
        <v>3</v>
      </c>
      <c r="K147">
        <f t="shared" si="31"/>
        <v>3</v>
      </c>
      <c r="L147">
        <f t="shared" si="31"/>
        <v>3</v>
      </c>
      <c r="M147">
        <f t="shared" si="31"/>
        <v>3</v>
      </c>
      <c r="N147">
        <f t="shared" si="31"/>
        <v>3</v>
      </c>
      <c r="O147">
        <f t="shared" si="31"/>
        <v>3</v>
      </c>
      <c r="P147">
        <f t="shared" si="31"/>
        <v>3</v>
      </c>
      <c r="Q147">
        <f t="shared" si="31"/>
        <v>3</v>
      </c>
      <c r="R147">
        <f t="shared" si="31"/>
        <v>3</v>
      </c>
      <c r="S147">
        <f t="shared" si="31"/>
        <v>3</v>
      </c>
      <c r="T147">
        <f t="shared" si="31"/>
        <v>3</v>
      </c>
      <c r="U147">
        <f t="shared" si="31"/>
        <v>3</v>
      </c>
      <c r="V147">
        <f t="shared" si="31"/>
        <v>2</v>
      </c>
      <c r="W147">
        <f t="shared" si="31"/>
        <v>1</v>
      </c>
      <c r="X147">
        <f t="shared" si="31"/>
        <v>0</v>
      </c>
      <c r="Y147">
        <f t="shared" si="31"/>
        <v>0</v>
      </c>
      <c r="Z147">
        <f t="shared" si="31"/>
        <v>0</v>
      </c>
      <c r="AA147">
        <f t="shared" si="31"/>
        <v>0</v>
      </c>
      <c r="AB147">
        <f t="shared" si="31"/>
        <v>0</v>
      </c>
      <c r="AC147">
        <f t="shared" si="31"/>
        <v>0</v>
      </c>
      <c r="AD147">
        <f t="shared" si="31"/>
        <v>0</v>
      </c>
      <c r="AE147">
        <f t="shared" si="31"/>
        <v>0</v>
      </c>
      <c r="AF147">
        <f t="shared" si="31"/>
        <v>0</v>
      </c>
      <c r="AG147">
        <f t="shared" si="31"/>
        <v>0</v>
      </c>
      <c r="AH147">
        <f t="shared" si="31"/>
        <v>0</v>
      </c>
      <c r="AI147">
        <f t="shared" si="31"/>
        <v>0</v>
      </c>
      <c r="AJ147">
        <f t="shared" si="31"/>
        <v>0</v>
      </c>
      <c r="AK147">
        <f t="shared" si="31"/>
        <v>0</v>
      </c>
      <c r="AL147">
        <f t="shared" si="31"/>
        <v>0</v>
      </c>
      <c r="AM147">
        <f t="shared" si="31"/>
        <v>0</v>
      </c>
      <c r="AN147">
        <f t="shared" si="31"/>
        <v>0</v>
      </c>
      <c r="AO147">
        <f t="shared" si="31"/>
        <v>0</v>
      </c>
      <c r="AP147">
        <f t="shared" si="31"/>
        <v>0</v>
      </c>
      <c r="AQ147">
        <f t="shared" si="31"/>
        <v>0</v>
      </c>
      <c r="AR147">
        <f t="shared" si="31"/>
        <v>0</v>
      </c>
      <c r="AS147">
        <f t="shared" si="31"/>
        <v>0</v>
      </c>
      <c r="AT147">
        <f t="shared" si="31"/>
        <v>0</v>
      </c>
      <c r="AU147">
        <f t="shared" si="31"/>
        <v>0</v>
      </c>
      <c r="AV147">
        <f t="shared" si="31"/>
        <v>0</v>
      </c>
      <c r="AW147">
        <f t="shared" si="31"/>
        <v>0</v>
      </c>
      <c r="AX147">
        <f t="shared" si="31"/>
        <v>0</v>
      </c>
      <c r="AY147">
        <f t="shared" si="31"/>
        <v>0</v>
      </c>
      <c r="AZ147">
        <f t="shared" si="31"/>
        <v>0</v>
      </c>
      <c r="BA147">
        <f t="shared" si="31"/>
        <v>0</v>
      </c>
      <c r="BB147">
        <f t="shared" si="31"/>
        <v>0</v>
      </c>
      <c r="BC147">
        <f t="shared" si="31"/>
        <v>0</v>
      </c>
    </row>
    <row r="148" spans="2:56">
      <c r="B148" t="s">
        <v>164</v>
      </c>
      <c r="C148">
        <f t="shared" ref="C148:BC148" si="32">COUNTIF(C4:C59, "rMICU1")</f>
        <v>0</v>
      </c>
      <c r="D148">
        <f t="shared" si="32"/>
        <v>0</v>
      </c>
      <c r="E148">
        <f t="shared" si="32"/>
        <v>1</v>
      </c>
      <c r="F148">
        <f t="shared" si="32"/>
        <v>1</v>
      </c>
      <c r="G148">
        <f t="shared" si="32"/>
        <v>1</v>
      </c>
      <c r="H148">
        <f t="shared" si="32"/>
        <v>1</v>
      </c>
      <c r="I148">
        <f t="shared" si="32"/>
        <v>1</v>
      </c>
      <c r="J148">
        <f t="shared" si="32"/>
        <v>1</v>
      </c>
      <c r="K148">
        <f t="shared" si="32"/>
        <v>1</v>
      </c>
      <c r="L148">
        <f t="shared" si="32"/>
        <v>1</v>
      </c>
      <c r="M148">
        <f t="shared" si="32"/>
        <v>1</v>
      </c>
      <c r="N148">
        <f t="shared" si="32"/>
        <v>1</v>
      </c>
      <c r="O148">
        <f t="shared" si="32"/>
        <v>1</v>
      </c>
      <c r="P148">
        <f t="shared" si="32"/>
        <v>1</v>
      </c>
      <c r="Q148">
        <f t="shared" si="32"/>
        <v>1</v>
      </c>
      <c r="R148">
        <f t="shared" si="32"/>
        <v>1</v>
      </c>
      <c r="S148">
        <f t="shared" si="32"/>
        <v>1</v>
      </c>
      <c r="T148">
        <f t="shared" si="32"/>
        <v>1</v>
      </c>
      <c r="U148">
        <f t="shared" si="32"/>
        <v>1</v>
      </c>
      <c r="V148">
        <f t="shared" si="32"/>
        <v>1</v>
      </c>
      <c r="W148">
        <f t="shared" si="32"/>
        <v>0</v>
      </c>
      <c r="X148">
        <f t="shared" si="32"/>
        <v>0</v>
      </c>
      <c r="Y148">
        <f t="shared" si="32"/>
        <v>0</v>
      </c>
      <c r="Z148">
        <f t="shared" si="32"/>
        <v>0</v>
      </c>
      <c r="AA148">
        <f t="shared" si="32"/>
        <v>0</v>
      </c>
      <c r="AB148">
        <f t="shared" si="32"/>
        <v>0</v>
      </c>
      <c r="AC148">
        <f t="shared" si="32"/>
        <v>0</v>
      </c>
      <c r="AD148">
        <f t="shared" si="32"/>
        <v>0</v>
      </c>
      <c r="AE148">
        <f t="shared" si="32"/>
        <v>0</v>
      </c>
      <c r="AF148">
        <f t="shared" si="32"/>
        <v>0</v>
      </c>
      <c r="AG148">
        <f t="shared" si="32"/>
        <v>0</v>
      </c>
      <c r="AH148">
        <f t="shared" si="32"/>
        <v>0</v>
      </c>
      <c r="AI148">
        <f t="shared" si="32"/>
        <v>0</v>
      </c>
      <c r="AJ148">
        <f t="shared" si="32"/>
        <v>0</v>
      </c>
      <c r="AK148">
        <f t="shared" si="32"/>
        <v>0</v>
      </c>
      <c r="AL148">
        <f t="shared" si="32"/>
        <v>0</v>
      </c>
      <c r="AM148">
        <f t="shared" si="32"/>
        <v>0</v>
      </c>
      <c r="AN148">
        <f t="shared" si="32"/>
        <v>0</v>
      </c>
      <c r="AO148">
        <f t="shared" si="32"/>
        <v>0</v>
      </c>
      <c r="AP148">
        <f t="shared" si="32"/>
        <v>0</v>
      </c>
      <c r="AQ148">
        <f t="shared" si="32"/>
        <v>0</v>
      </c>
      <c r="AR148">
        <f t="shared" si="32"/>
        <v>0</v>
      </c>
      <c r="AS148">
        <f t="shared" si="32"/>
        <v>0</v>
      </c>
      <c r="AT148">
        <f t="shared" si="32"/>
        <v>0</v>
      </c>
      <c r="AU148">
        <f t="shared" si="32"/>
        <v>0</v>
      </c>
      <c r="AV148">
        <f t="shared" si="32"/>
        <v>0</v>
      </c>
      <c r="AW148">
        <f t="shared" si="32"/>
        <v>0</v>
      </c>
      <c r="AX148">
        <f t="shared" si="32"/>
        <v>0</v>
      </c>
      <c r="AY148">
        <f t="shared" si="32"/>
        <v>0</v>
      </c>
      <c r="AZ148">
        <f t="shared" si="32"/>
        <v>0</v>
      </c>
      <c r="BA148">
        <f t="shared" si="32"/>
        <v>0</v>
      </c>
      <c r="BB148">
        <f t="shared" si="32"/>
        <v>0</v>
      </c>
      <c r="BC148">
        <f t="shared" si="32"/>
        <v>0</v>
      </c>
      <c r="BD148">
        <f t="shared" ref="BD148:BD150" si="33">COUNTIF(C148:BC148, "0")</f>
        <v>35</v>
      </c>
    </row>
    <row r="149" spans="2:56">
      <c r="B149" t="s">
        <v>165</v>
      </c>
      <c r="C149">
        <f t="shared" ref="C149:BC149" si="34">COUNTIF(C4:C59, "rMICU2")</f>
        <v>0</v>
      </c>
      <c r="D149">
        <f t="shared" si="34"/>
        <v>1</v>
      </c>
      <c r="E149">
        <f t="shared" si="34"/>
        <v>1</v>
      </c>
      <c r="F149">
        <f t="shared" si="34"/>
        <v>1</v>
      </c>
      <c r="G149">
        <f t="shared" si="34"/>
        <v>1</v>
      </c>
      <c r="H149">
        <f t="shared" si="34"/>
        <v>1</v>
      </c>
      <c r="I149">
        <f t="shared" si="34"/>
        <v>1</v>
      </c>
      <c r="J149">
        <f t="shared" si="34"/>
        <v>1</v>
      </c>
      <c r="K149">
        <f t="shared" si="34"/>
        <v>1</v>
      </c>
      <c r="L149">
        <f t="shared" si="34"/>
        <v>1</v>
      </c>
      <c r="M149">
        <f t="shared" si="34"/>
        <v>1</v>
      </c>
      <c r="N149">
        <f t="shared" si="34"/>
        <v>1</v>
      </c>
      <c r="O149">
        <f t="shared" si="34"/>
        <v>1</v>
      </c>
      <c r="P149">
        <f t="shared" si="34"/>
        <v>1</v>
      </c>
      <c r="Q149">
        <f t="shared" si="34"/>
        <v>1</v>
      </c>
      <c r="R149">
        <f t="shared" si="34"/>
        <v>1</v>
      </c>
      <c r="S149">
        <f t="shared" si="34"/>
        <v>1</v>
      </c>
      <c r="T149">
        <f t="shared" si="34"/>
        <v>1</v>
      </c>
      <c r="U149">
        <f t="shared" si="34"/>
        <v>1</v>
      </c>
      <c r="V149">
        <f t="shared" si="34"/>
        <v>0</v>
      </c>
      <c r="W149">
        <f t="shared" si="34"/>
        <v>0</v>
      </c>
      <c r="X149">
        <f t="shared" si="34"/>
        <v>0</v>
      </c>
      <c r="Y149">
        <f t="shared" si="34"/>
        <v>0</v>
      </c>
      <c r="Z149">
        <f t="shared" si="34"/>
        <v>0</v>
      </c>
      <c r="AA149">
        <f t="shared" si="34"/>
        <v>0</v>
      </c>
      <c r="AB149">
        <f t="shared" si="34"/>
        <v>0</v>
      </c>
      <c r="AC149">
        <f t="shared" si="34"/>
        <v>0</v>
      </c>
      <c r="AD149">
        <f t="shared" si="34"/>
        <v>0</v>
      </c>
      <c r="AE149">
        <f t="shared" si="34"/>
        <v>0</v>
      </c>
      <c r="AF149">
        <f t="shared" si="34"/>
        <v>0</v>
      </c>
      <c r="AG149">
        <f t="shared" si="34"/>
        <v>0</v>
      </c>
      <c r="AH149">
        <f t="shared" si="34"/>
        <v>0</v>
      </c>
      <c r="AI149">
        <f t="shared" si="34"/>
        <v>0</v>
      </c>
      <c r="AJ149">
        <f t="shared" si="34"/>
        <v>0</v>
      </c>
      <c r="AK149">
        <f t="shared" si="34"/>
        <v>0</v>
      </c>
      <c r="AL149">
        <f t="shared" si="34"/>
        <v>0</v>
      </c>
      <c r="AM149">
        <f t="shared" si="34"/>
        <v>0</v>
      </c>
      <c r="AN149">
        <f t="shared" si="34"/>
        <v>0</v>
      </c>
      <c r="AO149">
        <f t="shared" si="34"/>
        <v>0</v>
      </c>
      <c r="AP149">
        <f t="shared" si="34"/>
        <v>0</v>
      </c>
      <c r="AQ149">
        <f t="shared" si="34"/>
        <v>0</v>
      </c>
      <c r="AR149">
        <f t="shared" si="34"/>
        <v>0</v>
      </c>
      <c r="AS149">
        <f t="shared" si="34"/>
        <v>0</v>
      </c>
      <c r="AT149">
        <f t="shared" si="34"/>
        <v>0</v>
      </c>
      <c r="AU149">
        <f t="shared" si="34"/>
        <v>0</v>
      </c>
      <c r="AV149">
        <f t="shared" si="34"/>
        <v>0</v>
      </c>
      <c r="AW149">
        <f t="shared" si="34"/>
        <v>0</v>
      </c>
      <c r="AX149">
        <f t="shared" si="34"/>
        <v>0</v>
      </c>
      <c r="AY149">
        <f t="shared" si="34"/>
        <v>0</v>
      </c>
      <c r="AZ149">
        <f t="shared" si="34"/>
        <v>0</v>
      </c>
      <c r="BA149">
        <f t="shared" si="34"/>
        <v>0</v>
      </c>
      <c r="BB149">
        <f t="shared" si="34"/>
        <v>0</v>
      </c>
      <c r="BC149">
        <f t="shared" si="34"/>
        <v>0</v>
      </c>
      <c r="BD149">
        <f t="shared" si="33"/>
        <v>35</v>
      </c>
    </row>
    <row r="150" spans="2:56">
      <c r="B150" t="s">
        <v>166</v>
      </c>
      <c r="C150">
        <f t="shared" ref="C150:BC150" si="35">COUNTIF(C4:C59, "rMICU3")</f>
        <v>0</v>
      </c>
      <c r="D150">
        <f t="shared" si="35"/>
        <v>0</v>
      </c>
      <c r="E150">
        <f t="shared" si="35"/>
        <v>0</v>
      </c>
      <c r="F150">
        <f t="shared" si="35"/>
        <v>1</v>
      </c>
      <c r="G150">
        <f t="shared" si="35"/>
        <v>1</v>
      </c>
      <c r="H150">
        <f t="shared" si="35"/>
        <v>1</v>
      </c>
      <c r="I150">
        <f t="shared" si="35"/>
        <v>1</v>
      </c>
      <c r="J150">
        <f t="shared" si="35"/>
        <v>1</v>
      </c>
      <c r="K150">
        <f t="shared" si="35"/>
        <v>1</v>
      </c>
      <c r="L150">
        <f t="shared" si="35"/>
        <v>1</v>
      </c>
      <c r="M150">
        <f t="shared" si="35"/>
        <v>1</v>
      </c>
      <c r="N150">
        <f t="shared" si="35"/>
        <v>1</v>
      </c>
      <c r="O150">
        <f t="shared" si="35"/>
        <v>1</v>
      </c>
      <c r="P150">
        <f t="shared" si="35"/>
        <v>1</v>
      </c>
      <c r="Q150">
        <f t="shared" si="35"/>
        <v>1</v>
      </c>
      <c r="R150">
        <f t="shared" si="35"/>
        <v>1</v>
      </c>
      <c r="S150">
        <f t="shared" si="35"/>
        <v>1</v>
      </c>
      <c r="T150">
        <f t="shared" si="35"/>
        <v>1</v>
      </c>
      <c r="U150">
        <f t="shared" si="35"/>
        <v>1</v>
      </c>
      <c r="V150">
        <f t="shared" si="35"/>
        <v>1</v>
      </c>
      <c r="W150">
        <f t="shared" si="35"/>
        <v>1</v>
      </c>
      <c r="X150">
        <f t="shared" si="35"/>
        <v>0</v>
      </c>
      <c r="Y150">
        <f t="shared" si="35"/>
        <v>0</v>
      </c>
      <c r="Z150">
        <f t="shared" si="35"/>
        <v>0</v>
      </c>
      <c r="AA150">
        <f t="shared" si="35"/>
        <v>0</v>
      </c>
      <c r="AB150">
        <f t="shared" si="35"/>
        <v>0</v>
      </c>
      <c r="AC150">
        <f t="shared" si="35"/>
        <v>0</v>
      </c>
      <c r="AD150">
        <f t="shared" si="35"/>
        <v>0</v>
      </c>
      <c r="AE150">
        <f t="shared" si="35"/>
        <v>0</v>
      </c>
      <c r="AF150">
        <f t="shared" si="35"/>
        <v>0</v>
      </c>
      <c r="AG150">
        <f t="shared" si="35"/>
        <v>0</v>
      </c>
      <c r="AH150">
        <f t="shared" si="35"/>
        <v>0</v>
      </c>
      <c r="AI150">
        <f t="shared" si="35"/>
        <v>0</v>
      </c>
      <c r="AJ150">
        <f t="shared" si="35"/>
        <v>0</v>
      </c>
      <c r="AK150">
        <f t="shared" si="35"/>
        <v>0</v>
      </c>
      <c r="AL150">
        <f t="shared" si="35"/>
        <v>0</v>
      </c>
      <c r="AM150">
        <f t="shared" si="35"/>
        <v>0</v>
      </c>
      <c r="AN150">
        <f t="shared" si="35"/>
        <v>0</v>
      </c>
      <c r="AO150">
        <f t="shared" si="35"/>
        <v>0</v>
      </c>
      <c r="AP150">
        <f t="shared" si="35"/>
        <v>0</v>
      </c>
      <c r="AQ150">
        <f t="shared" si="35"/>
        <v>0</v>
      </c>
      <c r="AR150">
        <f t="shared" si="35"/>
        <v>0</v>
      </c>
      <c r="AS150">
        <f t="shared" si="35"/>
        <v>0</v>
      </c>
      <c r="AT150">
        <f t="shared" si="35"/>
        <v>0</v>
      </c>
      <c r="AU150">
        <f t="shared" si="35"/>
        <v>0</v>
      </c>
      <c r="AV150">
        <f t="shared" si="35"/>
        <v>0</v>
      </c>
      <c r="AW150">
        <f t="shared" si="35"/>
        <v>0</v>
      </c>
      <c r="AX150">
        <f t="shared" si="35"/>
        <v>0</v>
      </c>
      <c r="AY150">
        <f t="shared" si="35"/>
        <v>0</v>
      </c>
      <c r="AZ150">
        <f t="shared" si="35"/>
        <v>0</v>
      </c>
      <c r="BA150">
        <f t="shared" si="35"/>
        <v>0</v>
      </c>
      <c r="BB150">
        <f t="shared" si="35"/>
        <v>0</v>
      </c>
      <c r="BC150">
        <f t="shared" si="35"/>
        <v>0</v>
      </c>
      <c r="BD150">
        <f t="shared" si="33"/>
        <v>35</v>
      </c>
    </row>
    <row r="152" spans="2:56">
      <c r="B152" s="8" t="s">
        <v>138</v>
      </c>
      <c r="C152">
        <f t="shared" ref="C152:BC152" si="36">SUM(C153:C154)</f>
        <v>0</v>
      </c>
      <c r="D152">
        <f t="shared" si="36"/>
        <v>1</v>
      </c>
      <c r="E152">
        <f t="shared" si="36"/>
        <v>1</v>
      </c>
      <c r="F152">
        <f t="shared" si="36"/>
        <v>2</v>
      </c>
      <c r="G152">
        <f t="shared" si="36"/>
        <v>2</v>
      </c>
      <c r="H152">
        <f t="shared" si="36"/>
        <v>2</v>
      </c>
      <c r="I152">
        <f t="shared" si="36"/>
        <v>2</v>
      </c>
      <c r="J152">
        <f t="shared" si="36"/>
        <v>2</v>
      </c>
      <c r="K152">
        <f t="shared" si="36"/>
        <v>2</v>
      </c>
      <c r="L152">
        <f t="shared" si="36"/>
        <v>2</v>
      </c>
      <c r="M152">
        <f t="shared" si="36"/>
        <v>2</v>
      </c>
      <c r="N152">
        <f t="shared" si="36"/>
        <v>2</v>
      </c>
      <c r="O152">
        <f t="shared" si="36"/>
        <v>2</v>
      </c>
      <c r="P152">
        <f t="shared" si="36"/>
        <v>2</v>
      </c>
      <c r="Q152">
        <f t="shared" si="36"/>
        <v>2</v>
      </c>
      <c r="R152">
        <f t="shared" si="36"/>
        <v>2</v>
      </c>
      <c r="S152">
        <f t="shared" si="36"/>
        <v>2</v>
      </c>
      <c r="T152">
        <f t="shared" si="36"/>
        <v>2</v>
      </c>
      <c r="U152">
        <f t="shared" si="36"/>
        <v>2</v>
      </c>
      <c r="V152">
        <f t="shared" si="36"/>
        <v>1</v>
      </c>
      <c r="W152">
        <f t="shared" si="36"/>
        <v>1</v>
      </c>
      <c r="X152">
        <f t="shared" si="36"/>
        <v>0</v>
      </c>
      <c r="Y152">
        <f t="shared" si="36"/>
        <v>0</v>
      </c>
      <c r="Z152">
        <f t="shared" si="36"/>
        <v>0</v>
      </c>
      <c r="AA152">
        <f t="shared" si="36"/>
        <v>0</v>
      </c>
      <c r="AB152">
        <f t="shared" si="36"/>
        <v>0</v>
      </c>
      <c r="AC152">
        <f t="shared" si="36"/>
        <v>0</v>
      </c>
      <c r="AD152">
        <f t="shared" si="36"/>
        <v>0</v>
      </c>
      <c r="AE152">
        <f t="shared" si="36"/>
        <v>0</v>
      </c>
      <c r="AF152">
        <f t="shared" si="36"/>
        <v>0</v>
      </c>
      <c r="AG152">
        <f t="shared" si="36"/>
        <v>0</v>
      </c>
      <c r="AH152">
        <f t="shared" si="36"/>
        <v>0</v>
      </c>
      <c r="AI152">
        <f t="shared" si="36"/>
        <v>0</v>
      </c>
      <c r="AJ152">
        <f t="shared" si="36"/>
        <v>0</v>
      </c>
      <c r="AK152">
        <f t="shared" si="36"/>
        <v>0</v>
      </c>
      <c r="AL152">
        <f t="shared" si="36"/>
        <v>0</v>
      </c>
      <c r="AM152">
        <f t="shared" si="36"/>
        <v>0</v>
      </c>
      <c r="AN152">
        <f t="shared" si="36"/>
        <v>0</v>
      </c>
      <c r="AO152">
        <f t="shared" si="36"/>
        <v>0</v>
      </c>
      <c r="AP152">
        <f t="shared" si="36"/>
        <v>0</v>
      </c>
      <c r="AQ152">
        <f t="shared" si="36"/>
        <v>0</v>
      </c>
      <c r="AR152">
        <f t="shared" si="36"/>
        <v>0</v>
      </c>
      <c r="AS152">
        <f t="shared" si="36"/>
        <v>0</v>
      </c>
      <c r="AT152">
        <f t="shared" si="36"/>
        <v>0</v>
      </c>
      <c r="AU152">
        <f t="shared" si="36"/>
        <v>0</v>
      </c>
      <c r="AV152">
        <f t="shared" si="36"/>
        <v>0</v>
      </c>
      <c r="AW152">
        <f t="shared" si="36"/>
        <v>0</v>
      </c>
      <c r="AX152">
        <f t="shared" si="36"/>
        <v>0</v>
      </c>
      <c r="AY152">
        <f t="shared" si="36"/>
        <v>0</v>
      </c>
      <c r="AZ152">
        <f t="shared" si="36"/>
        <v>0</v>
      </c>
      <c r="BA152">
        <f t="shared" si="36"/>
        <v>0</v>
      </c>
      <c r="BB152">
        <f t="shared" si="36"/>
        <v>0</v>
      </c>
      <c r="BC152">
        <f t="shared" si="36"/>
        <v>0</v>
      </c>
    </row>
    <row r="153" spans="2:56">
      <c r="B153" t="s">
        <v>167</v>
      </c>
      <c r="C153">
        <f t="shared" ref="C153:BC153" si="37">COUNTIF(C4:C59, "rCar1")</f>
        <v>0</v>
      </c>
      <c r="D153">
        <f t="shared" si="37"/>
        <v>0</v>
      </c>
      <c r="E153">
        <f t="shared" si="37"/>
        <v>0</v>
      </c>
      <c r="F153">
        <f t="shared" si="37"/>
        <v>1</v>
      </c>
      <c r="G153">
        <f t="shared" si="37"/>
        <v>1</v>
      </c>
      <c r="H153">
        <f t="shared" si="37"/>
        <v>1</v>
      </c>
      <c r="I153">
        <f t="shared" si="37"/>
        <v>1</v>
      </c>
      <c r="J153">
        <f t="shared" si="37"/>
        <v>1</v>
      </c>
      <c r="K153">
        <f t="shared" si="37"/>
        <v>1</v>
      </c>
      <c r="L153">
        <f t="shared" si="37"/>
        <v>1</v>
      </c>
      <c r="M153">
        <f t="shared" si="37"/>
        <v>1</v>
      </c>
      <c r="N153">
        <f t="shared" si="37"/>
        <v>1</v>
      </c>
      <c r="O153">
        <f t="shared" si="37"/>
        <v>1</v>
      </c>
      <c r="P153">
        <f t="shared" si="37"/>
        <v>1</v>
      </c>
      <c r="Q153">
        <f t="shared" si="37"/>
        <v>1</v>
      </c>
      <c r="R153">
        <f t="shared" si="37"/>
        <v>1</v>
      </c>
      <c r="S153">
        <f t="shared" si="37"/>
        <v>1</v>
      </c>
      <c r="T153">
        <f t="shared" si="37"/>
        <v>1</v>
      </c>
      <c r="U153">
        <f t="shared" si="37"/>
        <v>1</v>
      </c>
      <c r="V153">
        <f t="shared" si="37"/>
        <v>1</v>
      </c>
      <c r="W153">
        <f t="shared" si="37"/>
        <v>1</v>
      </c>
      <c r="X153">
        <f t="shared" si="37"/>
        <v>0</v>
      </c>
      <c r="Y153">
        <f t="shared" si="37"/>
        <v>0</v>
      </c>
      <c r="Z153">
        <f t="shared" si="37"/>
        <v>0</v>
      </c>
      <c r="AA153">
        <f t="shared" si="37"/>
        <v>0</v>
      </c>
      <c r="AB153">
        <f t="shared" si="37"/>
        <v>0</v>
      </c>
      <c r="AC153">
        <f t="shared" si="37"/>
        <v>0</v>
      </c>
      <c r="AD153">
        <f t="shared" si="37"/>
        <v>0</v>
      </c>
      <c r="AE153">
        <f t="shared" si="37"/>
        <v>0</v>
      </c>
      <c r="AF153">
        <f t="shared" si="37"/>
        <v>0</v>
      </c>
      <c r="AG153">
        <f t="shared" si="37"/>
        <v>0</v>
      </c>
      <c r="AH153">
        <f t="shared" si="37"/>
        <v>0</v>
      </c>
      <c r="AI153">
        <f t="shared" si="37"/>
        <v>0</v>
      </c>
      <c r="AJ153">
        <f t="shared" si="37"/>
        <v>0</v>
      </c>
      <c r="AK153">
        <f t="shared" si="37"/>
        <v>0</v>
      </c>
      <c r="AL153">
        <f t="shared" si="37"/>
        <v>0</v>
      </c>
      <c r="AM153">
        <f t="shared" si="37"/>
        <v>0</v>
      </c>
      <c r="AN153">
        <f t="shared" si="37"/>
        <v>0</v>
      </c>
      <c r="AO153">
        <f t="shared" si="37"/>
        <v>0</v>
      </c>
      <c r="AP153">
        <f t="shared" si="37"/>
        <v>0</v>
      </c>
      <c r="AQ153">
        <f t="shared" si="37"/>
        <v>0</v>
      </c>
      <c r="AR153">
        <f t="shared" si="37"/>
        <v>0</v>
      </c>
      <c r="AS153">
        <f t="shared" si="37"/>
        <v>0</v>
      </c>
      <c r="AT153">
        <f t="shared" si="37"/>
        <v>0</v>
      </c>
      <c r="AU153">
        <f t="shared" si="37"/>
        <v>0</v>
      </c>
      <c r="AV153">
        <f t="shared" si="37"/>
        <v>0</v>
      </c>
      <c r="AW153">
        <f t="shared" si="37"/>
        <v>0</v>
      </c>
      <c r="AX153">
        <f t="shared" si="37"/>
        <v>0</v>
      </c>
      <c r="AY153">
        <f t="shared" si="37"/>
        <v>0</v>
      </c>
      <c r="AZ153">
        <f t="shared" si="37"/>
        <v>0</v>
      </c>
      <c r="BA153">
        <f t="shared" si="37"/>
        <v>0</v>
      </c>
      <c r="BB153">
        <f t="shared" si="37"/>
        <v>0</v>
      </c>
      <c r="BC153">
        <f t="shared" si="37"/>
        <v>0</v>
      </c>
      <c r="BD153">
        <f t="shared" ref="BD153:BD154" si="38">COUNTIF(C153:BC153, "0")</f>
        <v>35</v>
      </c>
    </row>
    <row r="154" spans="2:56">
      <c r="B154" t="s">
        <v>168</v>
      </c>
      <c r="C154">
        <f t="shared" ref="C154:BC154" si="39">COUNTIF(C4:C59, "rCar2")</f>
        <v>0</v>
      </c>
      <c r="D154">
        <f t="shared" si="39"/>
        <v>1</v>
      </c>
      <c r="E154">
        <f t="shared" si="39"/>
        <v>1</v>
      </c>
      <c r="F154">
        <f t="shared" si="39"/>
        <v>1</v>
      </c>
      <c r="G154">
        <f t="shared" si="39"/>
        <v>1</v>
      </c>
      <c r="H154">
        <f t="shared" si="39"/>
        <v>1</v>
      </c>
      <c r="I154">
        <f t="shared" si="39"/>
        <v>1</v>
      </c>
      <c r="J154">
        <f t="shared" si="39"/>
        <v>1</v>
      </c>
      <c r="K154">
        <f t="shared" si="39"/>
        <v>1</v>
      </c>
      <c r="L154">
        <f t="shared" si="39"/>
        <v>1</v>
      </c>
      <c r="M154">
        <f t="shared" si="39"/>
        <v>1</v>
      </c>
      <c r="N154">
        <f t="shared" si="39"/>
        <v>1</v>
      </c>
      <c r="O154">
        <f t="shared" si="39"/>
        <v>1</v>
      </c>
      <c r="P154">
        <f t="shared" si="39"/>
        <v>1</v>
      </c>
      <c r="Q154">
        <f t="shared" si="39"/>
        <v>1</v>
      </c>
      <c r="R154">
        <f t="shared" si="39"/>
        <v>1</v>
      </c>
      <c r="S154">
        <f t="shared" si="39"/>
        <v>1</v>
      </c>
      <c r="T154">
        <f t="shared" si="39"/>
        <v>1</v>
      </c>
      <c r="U154">
        <f t="shared" si="39"/>
        <v>1</v>
      </c>
      <c r="V154">
        <f t="shared" si="39"/>
        <v>0</v>
      </c>
      <c r="W154">
        <f t="shared" si="39"/>
        <v>0</v>
      </c>
      <c r="X154">
        <f t="shared" si="39"/>
        <v>0</v>
      </c>
      <c r="Y154">
        <f t="shared" si="39"/>
        <v>0</v>
      </c>
      <c r="Z154">
        <f t="shared" si="39"/>
        <v>0</v>
      </c>
      <c r="AA154">
        <f t="shared" si="39"/>
        <v>0</v>
      </c>
      <c r="AB154">
        <f t="shared" si="39"/>
        <v>0</v>
      </c>
      <c r="AC154">
        <f t="shared" si="39"/>
        <v>0</v>
      </c>
      <c r="AD154">
        <f t="shared" si="39"/>
        <v>0</v>
      </c>
      <c r="AE154">
        <f t="shared" si="39"/>
        <v>0</v>
      </c>
      <c r="AF154">
        <f t="shared" si="39"/>
        <v>0</v>
      </c>
      <c r="AG154">
        <f t="shared" si="39"/>
        <v>0</v>
      </c>
      <c r="AH154">
        <f t="shared" si="39"/>
        <v>0</v>
      </c>
      <c r="AI154">
        <f t="shared" si="39"/>
        <v>0</v>
      </c>
      <c r="AJ154">
        <f t="shared" si="39"/>
        <v>0</v>
      </c>
      <c r="AK154">
        <f t="shared" si="39"/>
        <v>0</v>
      </c>
      <c r="AL154">
        <f t="shared" si="39"/>
        <v>0</v>
      </c>
      <c r="AM154">
        <f t="shared" si="39"/>
        <v>0</v>
      </c>
      <c r="AN154">
        <f t="shared" si="39"/>
        <v>0</v>
      </c>
      <c r="AO154">
        <f t="shared" si="39"/>
        <v>0</v>
      </c>
      <c r="AP154">
        <f t="shared" si="39"/>
        <v>0</v>
      </c>
      <c r="AQ154">
        <f t="shared" si="39"/>
        <v>0</v>
      </c>
      <c r="AR154">
        <f t="shared" si="39"/>
        <v>0</v>
      </c>
      <c r="AS154">
        <f t="shared" si="39"/>
        <v>0</v>
      </c>
      <c r="AT154">
        <f t="shared" si="39"/>
        <v>0</v>
      </c>
      <c r="AU154">
        <f t="shared" si="39"/>
        <v>0</v>
      </c>
      <c r="AV154">
        <f t="shared" si="39"/>
        <v>0</v>
      </c>
      <c r="AW154">
        <f t="shared" si="39"/>
        <v>0</v>
      </c>
      <c r="AX154">
        <f t="shared" si="39"/>
        <v>0</v>
      </c>
      <c r="AY154">
        <f t="shared" si="39"/>
        <v>0</v>
      </c>
      <c r="AZ154">
        <f t="shared" si="39"/>
        <v>0</v>
      </c>
      <c r="BA154">
        <f t="shared" si="39"/>
        <v>0</v>
      </c>
      <c r="BB154">
        <f t="shared" si="39"/>
        <v>0</v>
      </c>
      <c r="BC154">
        <f t="shared" si="39"/>
        <v>0</v>
      </c>
      <c r="BD154">
        <f t="shared" si="38"/>
        <v>35</v>
      </c>
    </row>
    <row r="156" spans="2:56">
      <c r="B156" s="8" t="s">
        <v>137</v>
      </c>
      <c r="C156">
        <f t="shared" ref="C156:BC156" si="40">SUM(C157:C158)</f>
        <v>0</v>
      </c>
      <c r="D156">
        <f t="shared" si="40"/>
        <v>1</v>
      </c>
      <c r="E156">
        <f t="shared" si="40"/>
        <v>2</v>
      </c>
      <c r="F156">
        <f t="shared" si="40"/>
        <v>2</v>
      </c>
      <c r="G156">
        <f t="shared" si="40"/>
        <v>2</v>
      </c>
      <c r="H156">
        <f t="shared" si="40"/>
        <v>2</v>
      </c>
      <c r="I156">
        <f t="shared" si="40"/>
        <v>2</v>
      </c>
      <c r="J156">
        <f t="shared" si="40"/>
        <v>2</v>
      </c>
      <c r="K156">
        <f t="shared" si="40"/>
        <v>2</v>
      </c>
      <c r="L156">
        <f t="shared" si="40"/>
        <v>2</v>
      </c>
      <c r="M156">
        <f t="shared" si="40"/>
        <v>2</v>
      </c>
      <c r="N156">
        <f t="shared" si="40"/>
        <v>2</v>
      </c>
      <c r="O156">
        <f t="shared" si="40"/>
        <v>2</v>
      </c>
      <c r="P156">
        <f t="shared" si="40"/>
        <v>2</v>
      </c>
      <c r="Q156">
        <f t="shared" si="40"/>
        <v>2</v>
      </c>
      <c r="R156">
        <f t="shared" si="40"/>
        <v>2</v>
      </c>
      <c r="S156">
        <f t="shared" si="40"/>
        <v>2</v>
      </c>
      <c r="T156">
        <f t="shared" si="40"/>
        <v>2</v>
      </c>
      <c r="U156">
        <f t="shared" si="40"/>
        <v>2</v>
      </c>
      <c r="V156">
        <f t="shared" si="40"/>
        <v>1</v>
      </c>
      <c r="W156">
        <f t="shared" si="40"/>
        <v>0</v>
      </c>
      <c r="X156">
        <f t="shared" si="40"/>
        <v>0</v>
      </c>
      <c r="Y156">
        <f t="shared" si="40"/>
        <v>0</v>
      </c>
      <c r="Z156">
        <f t="shared" si="40"/>
        <v>0</v>
      </c>
      <c r="AA156">
        <f t="shared" si="40"/>
        <v>0</v>
      </c>
      <c r="AB156">
        <f t="shared" si="40"/>
        <v>0</v>
      </c>
      <c r="AC156">
        <f t="shared" si="40"/>
        <v>0</v>
      </c>
      <c r="AD156">
        <f t="shared" si="40"/>
        <v>0</v>
      </c>
      <c r="AE156">
        <f t="shared" si="40"/>
        <v>0</v>
      </c>
      <c r="AF156">
        <f t="shared" si="40"/>
        <v>0</v>
      </c>
      <c r="AG156">
        <f t="shared" si="40"/>
        <v>0</v>
      </c>
      <c r="AH156">
        <f t="shared" si="40"/>
        <v>0</v>
      </c>
      <c r="AI156">
        <f t="shared" si="40"/>
        <v>0</v>
      </c>
      <c r="AJ156">
        <f t="shared" si="40"/>
        <v>0</v>
      </c>
      <c r="AK156">
        <f t="shared" si="40"/>
        <v>0</v>
      </c>
      <c r="AL156">
        <f t="shared" si="40"/>
        <v>0</v>
      </c>
      <c r="AM156">
        <f t="shared" si="40"/>
        <v>0</v>
      </c>
      <c r="AN156">
        <f t="shared" si="40"/>
        <v>0</v>
      </c>
      <c r="AO156">
        <f t="shared" si="40"/>
        <v>0</v>
      </c>
      <c r="AP156">
        <f t="shared" si="40"/>
        <v>0</v>
      </c>
      <c r="AQ156">
        <f t="shared" si="40"/>
        <v>0</v>
      </c>
      <c r="AR156">
        <f t="shared" si="40"/>
        <v>0</v>
      </c>
      <c r="AS156">
        <f t="shared" si="40"/>
        <v>0</v>
      </c>
      <c r="AT156">
        <f t="shared" si="40"/>
        <v>0</v>
      </c>
      <c r="AU156">
        <f t="shared" si="40"/>
        <v>0</v>
      </c>
      <c r="AV156">
        <f t="shared" si="40"/>
        <v>0</v>
      </c>
      <c r="AW156">
        <f t="shared" si="40"/>
        <v>0</v>
      </c>
      <c r="AX156">
        <f t="shared" si="40"/>
        <v>0</v>
      </c>
      <c r="AY156">
        <f t="shared" si="40"/>
        <v>0</v>
      </c>
      <c r="AZ156">
        <f t="shared" si="40"/>
        <v>0</v>
      </c>
      <c r="BA156">
        <f t="shared" si="40"/>
        <v>0</v>
      </c>
      <c r="BB156">
        <f t="shared" si="40"/>
        <v>0</v>
      </c>
      <c r="BC156">
        <f t="shared" si="40"/>
        <v>0</v>
      </c>
    </row>
    <row r="157" spans="2:56">
      <c r="B157" t="s">
        <v>169</v>
      </c>
      <c r="C157">
        <f t="shared" ref="C157:BC157" si="41">COUNTIF(C4:C59, "rMICU1")</f>
        <v>0</v>
      </c>
      <c r="D157">
        <f t="shared" si="41"/>
        <v>0</v>
      </c>
      <c r="E157">
        <f t="shared" si="41"/>
        <v>1</v>
      </c>
      <c r="F157">
        <f t="shared" si="41"/>
        <v>1</v>
      </c>
      <c r="G157">
        <f t="shared" si="41"/>
        <v>1</v>
      </c>
      <c r="H157">
        <f t="shared" si="41"/>
        <v>1</v>
      </c>
      <c r="I157">
        <f t="shared" si="41"/>
        <v>1</v>
      </c>
      <c r="J157">
        <f t="shared" si="41"/>
        <v>1</v>
      </c>
      <c r="K157">
        <f t="shared" si="41"/>
        <v>1</v>
      </c>
      <c r="L157">
        <f t="shared" si="41"/>
        <v>1</v>
      </c>
      <c r="M157">
        <f t="shared" si="41"/>
        <v>1</v>
      </c>
      <c r="N157">
        <f t="shared" si="41"/>
        <v>1</v>
      </c>
      <c r="O157">
        <f t="shared" si="41"/>
        <v>1</v>
      </c>
      <c r="P157">
        <f t="shared" si="41"/>
        <v>1</v>
      </c>
      <c r="Q157">
        <f t="shared" si="41"/>
        <v>1</v>
      </c>
      <c r="R157">
        <f t="shared" si="41"/>
        <v>1</v>
      </c>
      <c r="S157">
        <f t="shared" si="41"/>
        <v>1</v>
      </c>
      <c r="T157">
        <f t="shared" si="41"/>
        <v>1</v>
      </c>
      <c r="U157">
        <f t="shared" si="41"/>
        <v>1</v>
      </c>
      <c r="V157">
        <f t="shared" si="41"/>
        <v>1</v>
      </c>
      <c r="W157">
        <f t="shared" si="41"/>
        <v>0</v>
      </c>
      <c r="X157">
        <f t="shared" si="41"/>
        <v>0</v>
      </c>
      <c r="Y157">
        <f t="shared" si="41"/>
        <v>0</v>
      </c>
      <c r="Z157">
        <f t="shared" si="41"/>
        <v>0</v>
      </c>
      <c r="AA157">
        <f t="shared" si="41"/>
        <v>0</v>
      </c>
      <c r="AB157">
        <f t="shared" si="41"/>
        <v>0</v>
      </c>
      <c r="AC157">
        <f t="shared" si="41"/>
        <v>0</v>
      </c>
      <c r="AD157">
        <f t="shared" si="41"/>
        <v>0</v>
      </c>
      <c r="AE157">
        <f t="shared" si="41"/>
        <v>0</v>
      </c>
      <c r="AF157">
        <f t="shared" si="41"/>
        <v>0</v>
      </c>
      <c r="AG157">
        <f t="shared" si="41"/>
        <v>0</v>
      </c>
      <c r="AH157">
        <f t="shared" si="41"/>
        <v>0</v>
      </c>
      <c r="AI157">
        <f t="shared" si="41"/>
        <v>0</v>
      </c>
      <c r="AJ157">
        <f t="shared" si="41"/>
        <v>0</v>
      </c>
      <c r="AK157">
        <f t="shared" si="41"/>
        <v>0</v>
      </c>
      <c r="AL157">
        <f t="shared" si="41"/>
        <v>0</v>
      </c>
      <c r="AM157">
        <f t="shared" si="41"/>
        <v>0</v>
      </c>
      <c r="AN157">
        <f t="shared" si="41"/>
        <v>0</v>
      </c>
      <c r="AO157">
        <f t="shared" si="41"/>
        <v>0</v>
      </c>
      <c r="AP157">
        <f t="shared" si="41"/>
        <v>0</v>
      </c>
      <c r="AQ157">
        <f t="shared" si="41"/>
        <v>0</v>
      </c>
      <c r="AR157">
        <f t="shared" si="41"/>
        <v>0</v>
      </c>
      <c r="AS157">
        <f t="shared" si="41"/>
        <v>0</v>
      </c>
      <c r="AT157">
        <f t="shared" si="41"/>
        <v>0</v>
      </c>
      <c r="AU157">
        <f t="shared" si="41"/>
        <v>0</v>
      </c>
      <c r="AV157">
        <f t="shared" si="41"/>
        <v>0</v>
      </c>
      <c r="AW157">
        <f t="shared" si="41"/>
        <v>0</v>
      </c>
      <c r="AX157">
        <f t="shared" si="41"/>
        <v>0</v>
      </c>
      <c r="AY157">
        <f t="shared" si="41"/>
        <v>0</v>
      </c>
      <c r="AZ157">
        <f t="shared" si="41"/>
        <v>0</v>
      </c>
      <c r="BA157">
        <f t="shared" si="41"/>
        <v>0</v>
      </c>
      <c r="BB157">
        <f t="shared" si="41"/>
        <v>0</v>
      </c>
      <c r="BC157">
        <f t="shared" si="41"/>
        <v>0</v>
      </c>
      <c r="BD157">
        <f t="shared" ref="BD157:BD158" si="42">COUNTIF(C157:BC157, "0")</f>
        <v>35</v>
      </c>
    </row>
    <row r="158" spans="2:56">
      <c r="B158" t="s">
        <v>170</v>
      </c>
      <c r="C158">
        <f t="shared" ref="C158:BC158" si="43">COUNTIF(C4:C59, "bron2")</f>
        <v>0</v>
      </c>
      <c r="D158">
        <f t="shared" si="43"/>
        <v>1</v>
      </c>
      <c r="E158">
        <f t="shared" si="43"/>
        <v>1</v>
      </c>
      <c r="F158">
        <f t="shared" si="43"/>
        <v>1</v>
      </c>
      <c r="G158">
        <f t="shared" si="43"/>
        <v>1</v>
      </c>
      <c r="H158">
        <f t="shared" si="43"/>
        <v>1</v>
      </c>
      <c r="I158">
        <f t="shared" si="43"/>
        <v>1</v>
      </c>
      <c r="J158">
        <f t="shared" si="43"/>
        <v>1</v>
      </c>
      <c r="K158">
        <f t="shared" si="43"/>
        <v>1</v>
      </c>
      <c r="L158">
        <f t="shared" si="43"/>
        <v>1</v>
      </c>
      <c r="M158">
        <f t="shared" si="43"/>
        <v>1</v>
      </c>
      <c r="N158">
        <f t="shared" si="43"/>
        <v>1</v>
      </c>
      <c r="O158">
        <f t="shared" si="43"/>
        <v>1</v>
      </c>
      <c r="P158">
        <f t="shared" si="43"/>
        <v>1</v>
      </c>
      <c r="Q158">
        <f t="shared" si="43"/>
        <v>1</v>
      </c>
      <c r="R158">
        <f t="shared" si="43"/>
        <v>1</v>
      </c>
      <c r="S158">
        <f t="shared" si="43"/>
        <v>1</v>
      </c>
      <c r="T158">
        <f t="shared" si="43"/>
        <v>1</v>
      </c>
      <c r="U158">
        <f t="shared" si="43"/>
        <v>1</v>
      </c>
      <c r="V158">
        <f t="shared" si="43"/>
        <v>0</v>
      </c>
      <c r="W158">
        <f t="shared" si="43"/>
        <v>0</v>
      </c>
      <c r="X158">
        <f t="shared" si="43"/>
        <v>0</v>
      </c>
      <c r="Y158">
        <f t="shared" si="43"/>
        <v>0</v>
      </c>
      <c r="Z158">
        <f t="shared" si="43"/>
        <v>0</v>
      </c>
      <c r="AA158">
        <f t="shared" si="43"/>
        <v>0</v>
      </c>
      <c r="AB158">
        <f t="shared" si="43"/>
        <v>0</v>
      </c>
      <c r="AC158">
        <f t="shared" si="43"/>
        <v>0</v>
      </c>
      <c r="AD158">
        <f t="shared" si="43"/>
        <v>0</v>
      </c>
      <c r="AE158">
        <f t="shared" si="43"/>
        <v>0</v>
      </c>
      <c r="AF158">
        <f t="shared" si="43"/>
        <v>0</v>
      </c>
      <c r="AG158">
        <f t="shared" si="43"/>
        <v>0</v>
      </c>
      <c r="AH158">
        <f t="shared" si="43"/>
        <v>0</v>
      </c>
      <c r="AI158">
        <f t="shared" si="43"/>
        <v>0</v>
      </c>
      <c r="AJ158">
        <f t="shared" si="43"/>
        <v>0</v>
      </c>
      <c r="AK158">
        <f t="shared" si="43"/>
        <v>0</v>
      </c>
      <c r="AL158">
        <f t="shared" si="43"/>
        <v>0</v>
      </c>
      <c r="AM158">
        <f t="shared" si="43"/>
        <v>0</v>
      </c>
      <c r="AN158">
        <f t="shared" si="43"/>
        <v>0</v>
      </c>
      <c r="AO158">
        <f t="shared" si="43"/>
        <v>0</v>
      </c>
      <c r="AP158">
        <f t="shared" si="43"/>
        <v>0</v>
      </c>
      <c r="AQ158">
        <f t="shared" si="43"/>
        <v>0</v>
      </c>
      <c r="AR158">
        <f t="shared" si="43"/>
        <v>0</v>
      </c>
      <c r="AS158">
        <f t="shared" si="43"/>
        <v>0</v>
      </c>
      <c r="AT158">
        <f t="shared" si="43"/>
        <v>0</v>
      </c>
      <c r="AU158">
        <f t="shared" si="43"/>
        <v>0</v>
      </c>
      <c r="AV158">
        <f t="shared" si="43"/>
        <v>0</v>
      </c>
      <c r="AW158">
        <f t="shared" si="43"/>
        <v>0</v>
      </c>
      <c r="AX158">
        <f t="shared" si="43"/>
        <v>0</v>
      </c>
      <c r="AY158">
        <f t="shared" si="43"/>
        <v>0</v>
      </c>
      <c r="AZ158">
        <f t="shared" si="43"/>
        <v>0</v>
      </c>
      <c r="BA158">
        <f t="shared" si="43"/>
        <v>0</v>
      </c>
      <c r="BB158">
        <f t="shared" si="43"/>
        <v>0</v>
      </c>
      <c r="BC158">
        <f t="shared" si="43"/>
        <v>0</v>
      </c>
      <c r="BD158">
        <f t="shared" si="42"/>
        <v>35</v>
      </c>
    </row>
    <row r="160" spans="2:56">
      <c r="B160" s="8" t="s">
        <v>171</v>
      </c>
      <c r="C160">
        <f t="shared" ref="C160:BC160" si="44">COUNTIF(C4:C59, "diamond")</f>
        <v>0</v>
      </c>
      <c r="D160">
        <f t="shared" si="44"/>
        <v>0</v>
      </c>
      <c r="E160">
        <f t="shared" si="44"/>
        <v>0</v>
      </c>
      <c r="F160">
        <f t="shared" si="44"/>
        <v>0</v>
      </c>
      <c r="G160">
        <f t="shared" si="44"/>
        <v>1</v>
      </c>
      <c r="H160">
        <f t="shared" si="44"/>
        <v>1</v>
      </c>
      <c r="I160">
        <f t="shared" si="44"/>
        <v>1</v>
      </c>
      <c r="J160">
        <f t="shared" si="44"/>
        <v>1</v>
      </c>
      <c r="K160">
        <f t="shared" si="44"/>
        <v>1</v>
      </c>
      <c r="L160">
        <f t="shared" si="44"/>
        <v>1</v>
      </c>
      <c r="M160">
        <f t="shared" si="44"/>
        <v>1</v>
      </c>
      <c r="N160">
        <f t="shared" si="44"/>
        <v>1</v>
      </c>
      <c r="O160">
        <f t="shared" si="44"/>
        <v>1</v>
      </c>
      <c r="P160">
        <f t="shared" si="44"/>
        <v>1</v>
      </c>
      <c r="Q160">
        <f t="shared" si="44"/>
        <v>1</v>
      </c>
      <c r="R160">
        <f t="shared" si="44"/>
        <v>1</v>
      </c>
      <c r="S160">
        <f t="shared" si="44"/>
        <v>1</v>
      </c>
      <c r="T160">
        <f t="shared" si="44"/>
        <v>1</v>
      </c>
      <c r="U160">
        <f t="shared" si="44"/>
        <v>1</v>
      </c>
      <c r="V160">
        <f t="shared" si="44"/>
        <v>1</v>
      </c>
      <c r="W160">
        <f t="shared" si="44"/>
        <v>1</v>
      </c>
      <c r="X160">
        <f t="shared" si="44"/>
        <v>0</v>
      </c>
      <c r="Y160">
        <f t="shared" si="44"/>
        <v>1</v>
      </c>
      <c r="Z160">
        <f t="shared" si="44"/>
        <v>0</v>
      </c>
      <c r="AA160">
        <f t="shared" si="44"/>
        <v>0</v>
      </c>
      <c r="AB160">
        <f t="shared" si="44"/>
        <v>0</v>
      </c>
      <c r="AC160">
        <f t="shared" si="44"/>
        <v>0</v>
      </c>
      <c r="AD160">
        <f t="shared" si="44"/>
        <v>0</v>
      </c>
      <c r="AE160">
        <f t="shared" si="44"/>
        <v>0</v>
      </c>
      <c r="AF160">
        <f t="shared" si="44"/>
        <v>0</v>
      </c>
      <c r="AG160">
        <f t="shared" si="44"/>
        <v>0</v>
      </c>
      <c r="AH160">
        <f t="shared" si="44"/>
        <v>0</v>
      </c>
      <c r="AI160">
        <f t="shared" si="44"/>
        <v>0</v>
      </c>
      <c r="AJ160">
        <f t="shared" si="44"/>
        <v>0</v>
      </c>
      <c r="AK160">
        <f t="shared" si="44"/>
        <v>0</v>
      </c>
      <c r="AL160">
        <f t="shared" si="44"/>
        <v>0</v>
      </c>
      <c r="AM160">
        <f t="shared" si="44"/>
        <v>0</v>
      </c>
      <c r="AN160">
        <f t="shared" si="44"/>
        <v>0</v>
      </c>
      <c r="AO160">
        <f t="shared" si="44"/>
        <v>0</v>
      </c>
      <c r="AP160">
        <f t="shared" si="44"/>
        <v>0</v>
      </c>
      <c r="AQ160">
        <f t="shared" si="44"/>
        <v>0</v>
      </c>
      <c r="AR160">
        <f t="shared" si="44"/>
        <v>0</v>
      </c>
      <c r="AS160">
        <f t="shared" si="44"/>
        <v>0</v>
      </c>
      <c r="AT160">
        <f t="shared" si="44"/>
        <v>0</v>
      </c>
      <c r="AU160">
        <f t="shared" si="44"/>
        <v>0</v>
      </c>
      <c r="AV160">
        <f t="shared" si="44"/>
        <v>0</v>
      </c>
      <c r="AW160">
        <f t="shared" si="44"/>
        <v>0</v>
      </c>
      <c r="AX160">
        <f t="shared" si="44"/>
        <v>0</v>
      </c>
      <c r="AY160">
        <f t="shared" si="44"/>
        <v>0</v>
      </c>
      <c r="AZ160">
        <f t="shared" si="44"/>
        <v>0</v>
      </c>
      <c r="BA160">
        <f t="shared" si="44"/>
        <v>0</v>
      </c>
      <c r="BB160">
        <f t="shared" si="44"/>
        <v>0</v>
      </c>
      <c r="BC160">
        <f t="shared" si="44"/>
        <v>0</v>
      </c>
      <c r="BD160">
        <f t="shared" ref="BD160:BD161" si="45">COUNTIF(C160:BC160, "0")</f>
        <v>35</v>
      </c>
    </row>
    <row r="161" spans="2:56">
      <c r="B161" s="8" t="s">
        <v>172</v>
      </c>
      <c r="C161">
        <f t="shared" ref="C161:BC161" si="46">COUNTIF(C4:C59, "gold")</f>
        <v>0</v>
      </c>
      <c r="D161">
        <f t="shared" si="46"/>
        <v>0</v>
      </c>
      <c r="E161">
        <f t="shared" si="46"/>
        <v>0</v>
      </c>
      <c r="F161">
        <f t="shared" si="46"/>
        <v>0</v>
      </c>
      <c r="G161">
        <f t="shared" si="46"/>
        <v>1</v>
      </c>
      <c r="H161">
        <f t="shared" si="46"/>
        <v>1</v>
      </c>
      <c r="I161">
        <f t="shared" si="46"/>
        <v>1</v>
      </c>
      <c r="J161">
        <f t="shared" si="46"/>
        <v>1</v>
      </c>
      <c r="K161">
        <f t="shared" si="46"/>
        <v>1</v>
      </c>
      <c r="L161">
        <f t="shared" si="46"/>
        <v>1</v>
      </c>
      <c r="M161">
        <f t="shared" si="46"/>
        <v>1</v>
      </c>
      <c r="N161">
        <f t="shared" si="46"/>
        <v>1</v>
      </c>
      <c r="O161">
        <f t="shared" si="46"/>
        <v>1</v>
      </c>
      <c r="P161">
        <f t="shared" si="46"/>
        <v>1</v>
      </c>
      <c r="Q161">
        <f t="shared" si="46"/>
        <v>1</v>
      </c>
      <c r="R161">
        <f t="shared" si="46"/>
        <v>1</v>
      </c>
      <c r="S161">
        <f t="shared" si="46"/>
        <v>1</v>
      </c>
      <c r="T161">
        <f t="shared" si="46"/>
        <v>1</v>
      </c>
      <c r="U161">
        <f t="shared" si="46"/>
        <v>1</v>
      </c>
      <c r="V161">
        <f t="shared" si="46"/>
        <v>1</v>
      </c>
      <c r="W161">
        <f t="shared" si="46"/>
        <v>1</v>
      </c>
      <c r="X161">
        <f t="shared" si="46"/>
        <v>0</v>
      </c>
      <c r="Y161">
        <f t="shared" si="46"/>
        <v>1</v>
      </c>
      <c r="Z161">
        <f t="shared" si="46"/>
        <v>1</v>
      </c>
      <c r="AA161">
        <f t="shared" si="46"/>
        <v>1</v>
      </c>
      <c r="AB161">
        <f t="shared" si="46"/>
        <v>0</v>
      </c>
      <c r="AC161">
        <f t="shared" si="46"/>
        <v>0</v>
      </c>
      <c r="AD161">
        <f t="shared" si="46"/>
        <v>0</v>
      </c>
      <c r="AE161">
        <f t="shared" si="46"/>
        <v>0</v>
      </c>
      <c r="AF161">
        <f t="shared" si="46"/>
        <v>0</v>
      </c>
      <c r="AG161">
        <f t="shared" si="46"/>
        <v>0</v>
      </c>
      <c r="AH161">
        <f t="shared" si="46"/>
        <v>0</v>
      </c>
      <c r="AI161">
        <f t="shared" si="46"/>
        <v>0</v>
      </c>
      <c r="AJ161">
        <f t="shared" si="46"/>
        <v>0</v>
      </c>
      <c r="AK161">
        <f t="shared" si="46"/>
        <v>0</v>
      </c>
      <c r="AL161">
        <f t="shared" si="46"/>
        <v>0</v>
      </c>
      <c r="AM161">
        <f t="shared" si="46"/>
        <v>0</v>
      </c>
      <c r="AN161">
        <f t="shared" si="46"/>
        <v>0</v>
      </c>
      <c r="AO161">
        <f t="shared" si="46"/>
        <v>0</v>
      </c>
      <c r="AP161">
        <f t="shared" si="46"/>
        <v>0</v>
      </c>
      <c r="AQ161">
        <f t="shared" si="46"/>
        <v>0</v>
      </c>
      <c r="AR161">
        <f t="shared" si="46"/>
        <v>0</v>
      </c>
      <c r="AS161">
        <f t="shared" si="46"/>
        <v>0</v>
      </c>
      <c r="AT161">
        <f t="shared" si="46"/>
        <v>0</v>
      </c>
      <c r="AU161">
        <f t="shared" si="46"/>
        <v>0</v>
      </c>
      <c r="AV161">
        <f t="shared" si="46"/>
        <v>0</v>
      </c>
      <c r="AW161">
        <f t="shared" si="46"/>
        <v>0</v>
      </c>
      <c r="AX161">
        <f t="shared" si="46"/>
        <v>0</v>
      </c>
      <c r="AY161">
        <f t="shared" si="46"/>
        <v>0</v>
      </c>
      <c r="AZ161">
        <f t="shared" si="46"/>
        <v>0</v>
      </c>
      <c r="BA161">
        <f t="shared" si="46"/>
        <v>0</v>
      </c>
      <c r="BB161">
        <f t="shared" si="46"/>
        <v>0</v>
      </c>
      <c r="BC161">
        <f t="shared" si="46"/>
        <v>0</v>
      </c>
      <c r="BD161">
        <f t="shared" si="45"/>
        <v>33</v>
      </c>
    </row>
    <row r="163" spans="2:56">
      <c r="B163" s="8" t="s">
        <v>129</v>
      </c>
      <c r="C163">
        <f t="shared" ref="C163:BC163" si="47">SUM(C164:C168)</f>
        <v>0</v>
      </c>
      <c r="D163">
        <f t="shared" si="47"/>
        <v>2</v>
      </c>
      <c r="E163">
        <f t="shared" si="47"/>
        <v>4</v>
      </c>
      <c r="F163">
        <f t="shared" si="47"/>
        <v>4</v>
      </c>
      <c r="G163">
        <f t="shared" si="47"/>
        <v>4</v>
      </c>
      <c r="H163">
        <f t="shared" si="47"/>
        <v>5</v>
      </c>
      <c r="I163">
        <f t="shared" si="47"/>
        <v>5</v>
      </c>
      <c r="J163">
        <f t="shared" si="47"/>
        <v>5</v>
      </c>
      <c r="K163">
        <f t="shared" si="47"/>
        <v>5</v>
      </c>
      <c r="L163">
        <f t="shared" si="47"/>
        <v>5</v>
      </c>
      <c r="M163">
        <f t="shared" si="47"/>
        <v>5</v>
      </c>
      <c r="N163">
        <f t="shared" si="47"/>
        <v>5</v>
      </c>
      <c r="O163">
        <f t="shared" si="47"/>
        <v>5</v>
      </c>
      <c r="P163">
        <f t="shared" si="47"/>
        <v>5</v>
      </c>
      <c r="Q163">
        <f t="shared" si="47"/>
        <v>5</v>
      </c>
      <c r="R163">
        <f t="shared" si="47"/>
        <v>5</v>
      </c>
      <c r="S163">
        <f t="shared" si="47"/>
        <v>5</v>
      </c>
      <c r="T163">
        <f t="shared" si="47"/>
        <v>5</v>
      </c>
      <c r="U163">
        <f t="shared" si="47"/>
        <v>5</v>
      </c>
      <c r="V163">
        <f t="shared" si="47"/>
        <v>4</v>
      </c>
      <c r="W163">
        <f t="shared" si="47"/>
        <v>3</v>
      </c>
      <c r="X163">
        <f t="shared" si="47"/>
        <v>0</v>
      </c>
      <c r="Y163">
        <f t="shared" si="47"/>
        <v>2</v>
      </c>
      <c r="Z163">
        <f t="shared" si="47"/>
        <v>1</v>
      </c>
      <c r="AA163">
        <f t="shared" si="47"/>
        <v>0</v>
      </c>
      <c r="AB163">
        <f t="shared" si="47"/>
        <v>0</v>
      </c>
      <c r="AC163">
        <f t="shared" si="47"/>
        <v>0</v>
      </c>
      <c r="AD163">
        <f t="shared" si="47"/>
        <v>0</v>
      </c>
      <c r="AE163">
        <f t="shared" si="47"/>
        <v>0</v>
      </c>
      <c r="AF163">
        <f t="shared" si="47"/>
        <v>0</v>
      </c>
      <c r="AG163">
        <f t="shared" si="47"/>
        <v>0</v>
      </c>
      <c r="AH163">
        <f t="shared" si="47"/>
        <v>0</v>
      </c>
      <c r="AI163">
        <f t="shared" si="47"/>
        <v>0</v>
      </c>
      <c r="AJ163">
        <f t="shared" si="47"/>
        <v>0</v>
      </c>
      <c r="AK163">
        <f t="shared" si="47"/>
        <v>0</v>
      </c>
      <c r="AL163">
        <f t="shared" si="47"/>
        <v>0</v>
      </c>
      <c r="AM163">
        <f t="shared" si="47"/>
        <v>0</v>
      </c>
      <c r="AN163">
        <f t="shared" si="47"/>
        <v>0</v>
      </c>
      <c r="AO163">
        <f t="shared" si="47"/>
        <v>0</v>
      </c>
      <c r="AP163">
        <f t="shared" si="47"/>
        <v>0</v>
      </c>
      <c r="AQ163">
        <f t="shared" si="47"/>
        <v>0</v>
      </c>
      <c r="AR163">
        <f t="shared" si="47"/>
        <v>0</v>
      </c>
      <c r="AS163">
        <f t="shared" si="47"/>
        <v>0</v>
      </c>
      <c r="AT163">
        <f t="shared" si="47"/>
        <v>0</v>
      </c>
      <c r="AU163">
        <f t="shared" si="47"/>
        <v>0</v>
      </c>
      <c r="AV163">
        <f t="shared" si="47"/>
        <v>0</v>
      </c>
      <c r="AW163">
        <f t="shared" si="47"/>
        <v>0</v>
      </c>
      <c r="AX163">
        <f t="shared" si="47"/>
        <v>0</v>
      </c>
      <c r="AY163">
        <f t="shared" si="47"/>
        <v>0</v>
      </c>
      <c r="AZ163">
        <f t="shared" si="47"/>
        <v>0</v>
      </c>
      <c r="BA163">
        <f t="shared" si="47"/>
        <v>0</v>
      </c>
      <c r="BB163">
        <f t="shared" si="47"/>
        <v>0</v>
      </c>
      <c r="BC163">
        <f t="shared" si="47"/>
        <v>0</v>
      </c>
    </row>
    <row r="164" spans="2:56">
      <c r="B164" s="9" t="s">
        <v>173</v>
      </c>
      <c r="C164">
        <f t="shared" ref="C164:BC164" si="48">COUNTIF(C4:C59, "rNF1")</f>
        <v>0</v>
      </c>
      <c r="D164">
        <f t="shared" si="48"/>
        <v>0</v>
      </c>
      <c r="E164">
        <f t="shared" si="48"/>
        <v>1</v>
      </c>
      <c r="F164">
        <f t="shared" si="48"/>
        <v>1</v>
      </c>
      <c r="G164">
        <f t="shared" si="48"/>
        <v>1</v>
      </c>
      <c r="H164">
        <f t="shared" si="48"/>
        <v>1</v>
      </c>
      <c r="I164">
        <f t="shared" si="48"/>
        <v>1</v>
      </c>
      <c r="J164">
        <f t="shared" si="48"/>
        <v>1</v>
      </c>
      <c r="K164">
        <f t="shared" si="48"/>
        <v>1</v>
      </c>
      <c r="L164">
        <f t="shared" si="48"/>
        <v>1</v>
      </c>
      <c r="M164">
        <f t="shared" si="48"/>
        <v>1</v>
      </c>
      <c r="N164">
        <f t="shared" si="48"/>
        <v>1</v>
      </c>
      <c r="O164">
        <f t="shared" si="48"/>
        <v>1</v>
      </c>
      <c r="P164">
        <f t="shared" si="48"/>
        <v>1</v>
      </c>
      <c r="Q164">
        <f t="shared" si="48"/>
        <v>1</v>
      </c>
      <c r="R164">
        <f t="shared" si="48"/>
        <v>1</v>
      </c>
      <c r="S164">
        <f t="shared" si="48"/>
        <v>1</v>
      </c>
      <c r="T164">
        <f t="shared" si="48"/>
        <v>1</v>
      </c>
      <c r="U164">
        <f t="shared" si="48"/>
        <v>1</v>
      </c>
      <c r="V164">
        <f t="shared" si="48"/>
        <v>1</v>
      </c>
      <c r="W164">
        <f t="shared" si="48"/>
        <v>1</v>
      </c>
      <c r="X164">
        <f t="shared" si="48"/>
        <v>0</v>
      </c>
      <c r="Y164">
        <f t="shared" si="48"/>
        <v>1</v>
      </c>
      <c r="Z164">
        <f t="shared" si="48"/>
        <v>0</v>
      </c>
      <c r="AA164">
        <f t="shared" si="48"/>
        <v>0</v>
      </c>
      <c r="AB164">
        <f t="shared" si="48"/>
        <v>0</v>
      </c>
      <c r="AC164">
        <f t="shared" si="48"/>
        <v>0</v>
      </c>
      <c r="AD164">
        <f t="shared" si="48"/>
        <v>0</v>
      </c>
      <c r="AE164">
        <f t="shared" si="48"/>
        <v>0</v>
      </c>
      <c r="AF164">
        <f t="shared" si="48"/>
        <v>0</v>
      </c>
      <c r="AG164">
        <f t="shared" si="48"/>
        <v>0</v>
      </c>
      <c r="AH164">
        <f t="shared" si="48"/>
        <v>0</v>
      </c>
      <c r="AI164">
        <f t="shared" si="48"/>
        <v>0</v>
      </c>
      <c r="AJ164">
        <f t="shared" si="48"/>
        <v>0</v>
      </c>
      <c r="AK164">
        <f t="shared" si="48"/>
        <v>0</v>
      </c>
      <c r="AL164">
        <f t="shared" si="48"/>
        <v>0</v>
      </c>
      <c r="AM164">
        <f t="shared" si="48"/>
        <v>0</v>
      </c>
      <c r="AN164">
        <f t="shared" si="48"/>
        <v>0</v>
      </c>
      <c r="AO164">
        <f t="shared" si="48"/>
        <v>0</v>
      </c>
      <c r="AP164">
        <f t="shared" si="48"/>
        <v>0</v>
      </c>
      <c r="AQ164">
        <f t="shared" si="48"/>
        <v>0</v>
      </c>
      <c r="AR164">
        <f t="shared" si="48"/>
        <v>0</v>
      </c>
      <c r="AS164">
        <f t="shared" si="48"/>
        <v>0</v>
      </c>
      <c r="AT164">
        <f t="shared" si="48"/>
        <v>0</v>
      </c>
      <c r="AU164">
        <f t="shared" si="48"/>
        <v>0</v>
      </c>
      <c r="AV164">
        <f t="shared" si="48"/>
        <v>0</v>
      </c>
      <c r="AW164">
        <f t="shared" si="48"/>
        <v>0</v>
      </c>
      <c r="AX164">
        <f t="shared" si="48"/>
        <v>0</v>
      </c>
      <c r="AY164">
        <f t="shared" si="48"/>
        <v>0</v>
      </c>
      <c r="AZ164">
        <f t="shared" si="48"/>
        <v>0</v>
      </c>
      <c r="BA164">
        <f t="shared" si="48"/>
        <v>0</v>
      </c>
      <c r="BB164">
        <f t="shared" si="48"/>
        <v>0</v>
      </c>
      <c r="BC164">
        <f t="shared" si="48"/>
        <v>0</v>
      </c>
      <c r="BD164">
        <f t="shared" ref="BD164:BD168" si="49">COUNTIF(C164:BC164, "0")</f>
        <v>33</v>
      </c>
    </row>
    <row r="165" spans="2:56">
      <c r="B165" s="9" t="s">
        <v>174</v>
      </c>
      <c r="C165">
        <f t="shared" ref="C165:BC165" si="50">COUNTIF(C4:C59, "rNF2")</f>
        <v>0</v>
      </c>
      <c r="D165">
        <f t="shared" si="50"/>
        <v>1</v>
      </c>
      <c r="E165">
        <f t="shared" si="50"/>
        <v>1</v>
      </c>
      <c r="F165">
        <f t="shared" si="50"/>
        <v>1</v>
      </c>
      <c r="G165">
        <f t="shared" si="50"/>
        <v>1</v>
      </c>
      <c r="H165">
        <f t="shared" si="50"/>
        <v>1</v>
      </c>
      <c r="I165">
        <f t="shared" si="50"/>
        <v>1</v>
      </c>
      <c r="J165">
        <f t="shared" si="50"/>
        <v>1</v>
      </c>
      <c r="K165">
        <f t="shared" si="50"/>
        <v>1</v>
      </c>
      <c r="L165">
        <f t="shared" si="50"/>
        <v>1</v>
      </c>
      <c r="M165">
        <f t="shared" si="50"/>
        <v>1</v>
      </c>
      <c r="N165">
        <f t="shared" si="50"/>
        <v>1</v>
      </c>
      <c r="O165">
        <f t="shared" si="50"/>
        <v>1</v>
      </c>
      <c r="P165">
        <f t="shared" si="50"/>
        <v>1</v>
      </c>
      <c r="Q165">
        <f t="shared" si="50"/>
        <v>1</v>
      </c>
      <c r="R165">
        <f t="shared" si="50"/>
        <v>1</v>
      </c>
      <c r="S165">
        <f t="shared" si="50"/>
        <v>1</v>
      </c>
      <c r="T165">
        <f t="shared" si="50"/>
        <v>1</v>
      </c>
      <c r="U165">
        <f t="shared" si="50"/>
        <v>1</v>
      </c>
      <c r="V165">
        <f t="shared" si="50"/>
        <v>1</v>
      </c>
      <c r="W165">
        <f t="shared" si="50"/>
        <v>1</v>
      </c>
      <c r="X165">
        <f t="shared" si="50"/>
        <v>0</v>
      </c>
      <c r="Y165">
        <f t="shared" si="50"/>
        <v>0</v>
      </c>
      <c r="Z165">
        <f t="shared" si="50"/>
        <v>0</v>
      </c>
      <c r="AA165">
        <f t="shared" si="50"/>
        <v>0</v>
      </c>
      <c r="AB165">
        <f t="shared" si="50"/>
        <v>0</v>
      </c>
      <c r="AC165">
        <f t="shared" si="50"/>
        <v>0</v>
      </c>
      <c r="AD165">
        <f t="shared" si="50"/>
        <v>0</v>
      </c>
      <c r="AE165">
        <f t="shared" si="50"/>
        <v>0</v>
      </c>
      <c r="AF165">
        <f t="shared" si="50"/>
        <v>0</v>
      </c>
      <c r="AG165">
        <f t="shared" si="50"/>
        <v>0</v>
      </c>
      <c r="AH165">
        <f t="shared" si="50"/>
        <v>0</v>
      </c>
      <c r="AI165">
        <f t="shared" si="50"/>
        <v>0</v>
      </c>
      <c r="AJ165">
        <f t="shared" si="50"/>
        <v>0</v>
      </c>
      <c r="AK165">
        <f t="shared" si="50"/>
        <v>0</v>
      </c>
      <c r="AL165">
        <f t="shared" si="50"/>
        <v>0</v>
      </c>
      <c r="AM165">
        <f t="shared" si="50"/>
        <v>0</v>
      </c>
      <c r="AN165">
        <f t="shared" si="50"/>
        <v>0</v>
      </c>
      <c r="AO165">
        <f t="shared" si="50"/>
        <v>0</v>
      </c>
      <c r="AP165">
        <f t="shared" si="50"/>
        <v>0</v>
      </c>
      <c r="AQ165">
        <f t="shared" si="50"/>
        <v>0</v>
      </c>
      <c r="AR165">
        <f t="shared" si="50"/>
        <v>0</v>
      </c>
      <c r="AS165">
        <f t="shared" si="50"/>
        <v>0</v>
      </c>
      <c r="AT165">
        <f t="shared" si="50"/>
        <v>0</v>
      </c>
      <c r="AU165">
        <f t="shared" si="50"/>
        <v>0</v>
      </c>
      <c r="AV165">
        <f t="shared" si="50"/>
        <v>0</v>
      </c>
      <c r="AW165">
        <f t="shared" si="50"/>
        <v>0</v>
      </c>
      <c r="AX165">
        <f t="shared" si="50"/>
        <v>0</v>
      </c>
      <c r="AY165">
        <f t="shared" si="50"/>
        <v>0</v>
      </c>
      <c r="AZ165">
        <f t="shared" si="50"/>
        <v>0</v>
      </c>
      <c r="BA165">
        <f t="shared" si="50"/>
        <v>0</v>
      </c>
      <c r="BB165">
        <f t="shared" si="50"/>
        <v>0</v>
      </c>
      <c r="BC165">
        <f t="shared" si="50"/>
        <v>0</v>
      </c>
      <c r="BD165">
        <f t="shared" si="49"/>
        <v>33</v>
      </c>
    </row>
    <row r="166" spans="2:56">
      <c r="B166" s="9" t="s">
        <v>175</v>
      </c>
      <c r="C166">
        <f t="shared" ref="C166:BC166" si="51">COUNTIF(C4:C59, "rNF3")</f>
        <v>0</v>
      </c>
      <c r="D166">
        <f t="shared" si="51"/>
        <v>1</v>
      </c>
      <c r="E166">
        <f t="shared" si="51"/>
        <v>1</v>
      </c>
      <c r="F166">
        <f t="shared" si="51"/>
        <v>1</v>
      </c>
      <c r="G166">
        <f t="shared" si="51"/>
        <v>1</v>
      </c>
      <c r="H166">
        <f t="shared" si="51"/>
        <v>1</v>
      </c>
      <c r="I166">
        <f t="shared" si="51"/>
        <v>1</v>
      </c>
      <c r="J166">
        <f t="shared" si="51"/>
        <v>1</v>
      </c>
      <c r="K166">
        <f t="shared" si="51"/>
        <v>1</v>
      </c>
      <c r="L166">
        <f t="shared" si="51"/>
        <v>1</v>
      </c>
      <c r="M166">
        <f t="shared" si="51"/>
        <v>1</v>
      </c>
      <c r="N166">
        <f t="shared" si="51"/>
        <v>1</v>
      </c>
      <c r="O166">
        <f t="shared" si="51"/>
        <v>1</v>
      </c>
      <c r="P166">
        <f t="shared" si="51"/>
        <v>1</v>
      </c>
      <c r="Q166">
        <f t="shared" si="51"/>
        <v>1</v>
      </c>
      <c r="R166">
        <f t="shared" si="51"/>
        <v>1</v>
      </c>
      <c r="S166">
        <f t="shared" si="51"/>
        <v>1</v>
      </c>
      <c r="T166">
        <f t="shared" si="51"/>
        <v>1</v>
      </c>
      <c r="U166">
        <f t="shared" si="51"/>
        <v>1</v>
      </c>
      <c r="V166">
        <f t="shared" si="51"/>
        <v>0</v>
      </c>
      <c r="W166">
        <f t="shared" si="51"/>
        <v>0</v>
      </c>
      <c r="X166">
        <f t="shared" si="51"/>
        <v>0</v>
      </c>
      <c r="Y166">
        <f t="shared" si="51"/>
        <v>0</v>
      </c>
      <c r="Z166">
        <f t="shared" si="51"/>
        <v>0</v>
      </c>
      <c r="AA166">
        <f t="shared" si="51"/>
        <v>0</v>
      </c>
      <c r="AB166">
        <f t="shared" si="51"/>
        <v>0</v>
      </c>
      <c r="AC166">
        <f t="shared" si="51"/>
        <v>0</v>
      </c>
      <c r="AD166">
        <f t="shared" si="51"/>
        <v>0</v>
      </c>
      <c r="AE166">
        <f t="shared" si="51"/>
        <v>0</v>
      </c>
      <c r="AF166">
        <f t="shared" si="51"/>
        <v>0</v>
      </c>
      <c r="AG166">
        <f t="shared" si="51"/>
        <v>0</v>
      </c>
      <c r="AH166">
        <f t="shared" si="51"/>
        <v>0</v>
      </c>
      <c r="AI166">
        <f t="shared" si="51"/>
        <v>0</v>
      </c>
      <c r="AJ166">
        <f t="shared" si="51"/>
        <v>0</v>
      </c>
      <c r="AK166">
        <f t="shared" si="51"/>
        <v>0</v>
      </c>
      <c r="AL166">
        <f t="shared" si="51"/>
        <v>0</v>
      </c>
      <c r="AM166">
        <f t="shared" si="51"/>
        <v>0</v>
      </c>
      <c r="AN166">
        <f t="shared" si="51"/>
        <v>0</v>
      </c>
      <c r="AO166">
        <f t="shared" si="51"/>
        <v>0</v>
      </c>
      <c r="AP166">
        <f t="shared" si="51"/>
        <v>0</v>
      </c>
      <c r="AQ166">
        <f t="shared" si="51"/>
        <v>0</v>
      </c>
      <c r="AR166">
        <f t="shared" si="51"/>
        <v>0</v>
      </c>
      <c r="AS166">
        <f t="shared" si="51"/>
        <v>0</v>
      </c>
      <c r="AT166">
        <f t="shared" si="51"/>
        <v>0</v>
      </c>
      <c r="AU166">
        <f t="shared" si="51"/>
        <v>0</v>
      </c>
      <c r="AV166">
        <f t="shared" si="51"/>
        <v>0</v>
      </c>
      <c r="AW166">
        <f t="shared" si="51"/>
        <v>0</v>
      </c>
      <c r="AX166">
        <f t="shared" si="51"/>
        <v>0</v>
      </c>
      <c r="AY166">
        <f t="shared" si="51"/>
        <v>0</v>
      </c>
      <c r="AZ166">
        <f t="shared" si="51"/>
        <v>0</v>
      </c>
      <c r="BA166">
        <f t="shared" si="51"/>
        <v>0</v>
      </c>
      <c r="BB166">
        <f t="shared" si="51"/>
        <v>0</v>
      </c>
      <c r="BC166">
        <f t="shared" si="51"/>
        <v>0</v>
      </c>
      <c r="BD166">
        <f t="shared" si="49"/>
        <v>35</v>
      </c>
    </row>
    <row r="167" spans="2:56">
      <c r="B167" s="9" t="s">
        <v>176</v>
      </c>
      <c r="C167">
        <f t="shared" ref="C167:BC167" si="52">COUNTIF(C4:C59, "rNF4")</f>
        <v>0</v>
      </c>
      <c r="D167">
        <f t="shared" si="52"/>
        <v>0</v>
      </c>
      <c r="E167">
        <f t="shared" si="52"/>
        <v>1</v>
      </c>
      <c r="F167">
        <f t="shared" si="52"/>
        <v>1</v>
      </c>
      <c r="G167">
        <f t="shared" si="52"/>
        <v>1</v>
      </c>
      <c r="H167">
        <f t="shared" si="52"/>
        <v>1</v>
      </c>
      <c r="I167">
        <f t="shared" si="52"/>
        <v>1</v>
      </c>
      <c r="J167">
        <f t="shared" si="52"/>
        <v>1</v>
      </c>
      <c r="K167">
        <f t="shared" si="52"/>
        <v>1</v>
      </c>
      <c r="L167">
        <f t="shared" si="52"/>
        <v>1</v>
      </c>
      <c r="M167">
        <f t="shared" si="52"/>
        <v>1</v>
      </c>
      <c r="N167">
        <f t="shared" si="52"/>
        <v>1</v>
      </c>
      <c r="O167">
        <f t="shared" si="52"/>
        <v>1</v>
      </c>
      <c r="P167">
        <f t="shared" si="52"/>
        <v>1</v>
      </c>
      <c r="Q167">
        <f t="shared" si="52"/>
        <v>1</v>
      </c>
      <c r="R167">
        <f t="shared" si="52"/>
        <v>1</v>
      </c>
      <c r="S167">
        <f t="shared" si="52"/>
        <v>1</v>
      </c>
      <c r="T167">
        <f t="shared" si="52"/>
        <v>1</v>
      </c>
      <c r="U167">
        <f t="shared" si="52"/>
        <v>1</v>
      </c>
      <c r="V167">
        <f t="shared" si="52"/>
        <v>1</v>
      </c>
      <c r="W167">
        <f t="shared" si="52"/>
        <v>0</v>
      </c>
      <c r="X167">
        <f t="shared" si="52"/>
        <v>0</v>
      </c>
      <c r="Y167">
        <f t="shared" si="52"/>
        <v>0</v>
      </c>
      <c r="Z167">
        <f t="shared" si="52"/>
        <v>0</v>
      </c>
      <c r="AA167">
        <f t="shared" si="52"/>
        <v>0</v>
      </c>
      <c r="AB167">
        <f t="shared" si="52"/>
        <v>0</v>
      </c>
      <c r="AC167">
        <f t="shared" si="52"/>
        <v>0</v>
      </c>
      <c r="AD167">
        <f t="shared" si="52"/>
        <v>0</v>
      </c>
      <c r="AE167">
        <f t="shared" si="52"/>
        <v>0</v>
      </c>
      <c r="AF167">
        <f t="shared" si="52"/>
        <v>0</v>
      </c>
      <c r="AG167">
        <f t="shared" si="52"/>
        <v>0</v>
      </c>
      <c r="AH167">
        <f t="shared" si="52"/>
        <v>0</v>
      </c>
      <c r="AI167">
        <f t="shared" si="52"/>
        <v>0</v>
      </c>
      <c r="AJ167">
        <f t="shared" si="52"/>
        <v>0</v>
      </c>
      <c r="AK167">
        <f t="shared" si="52"/>
        <v>0</v>
      </c>
      <c r="AL167">
        <f t="shared" si="52"/>
        <v>0</v>
      </c>
      <c r="AM167">
        <f t="shared" si="52"/>
        <v>0</v>
      </c>
      <c r="AN167">
        <f t="shared" si="52"/>
        <v>0</v>
      </c>
      <c r="AO167">
        <f t="shared" si="52"/>
        <v>0</v>
      </c>
      <c r="AP167">
        <f t="shared" si="52"/>
        <v>0</v>
      </c>
      <c r="AQ167">
        <f t="shared" si="52"/>
        <v>0</v>
      </c>
      <c r="AR167">
        <f t="shared" si="52"/>
        <v>0</v>
      </c>
      <c r="AS167">
        <f t="shared" si="52"/>
        <v>0</v>
      </c>
      <c r="AT167">
        <f t="shared" si="52"/>
        <v>0</v>
      </c>
      <c r="AU167">
        <f t="shared" si="52"/>
        <v>0</v>
      </c>
      <c r="AV167">
        <f t="shared" si="52"/>
        <v>0</v>
      </c>
      <c r="AW167">
        <f t="shared" si="52"/>
        <v>0</v>
      </c>
      <c r="AX167">
        <f t="shared" si="52"/>
        <v>0</v>
      </c>
      <c r="AY167">
        <f t="shared" si="52"/>
        <v>0</v>
      </c>
      <c r="AZ167">
        <f t="shared" si="52"/>
        <v>0</v>
      </c>
      <c r="BA167">
        <f t="shared" si="52"/>
        <v>0</v>
      </c>
      <c r="BB167">
        <f t="shared" si="52"/>
        <v>0</v>
      </c>
      <c r="BC167">
        <f t="shared" si="52"/>
        <v>0</v>
      </c>
      <c r="BD167">
        <f t="shared" si="49"/>
        <v>35</v>
      </c>
    </row>
    <row r="168" spans="2:56">
      <c r="B168" s="9" t="s">
        <v>177</v>
      </c>
      <c r="C168">
        <f t="shared" ref="C168:BC168" si="53">COUNTIF(C4:C59, "rNF5")</f>
        <v>0</v>
      </c>
      <c r="D168">
        <f t="shared" si="53"/>
        <v>0</v>
      </c>
      <c r="E168">
        <f t="shared" si="53"/>
        <v>0</v>
      </c>
      <c r="F168">
        <f t="shared" si="53"/>
        <v>0</v>
      </c>
      <c r="G168">
        <f t="shared" si="53"/>
        <v>0</v>
      </c>
      <c r="H168">
        <f t="shared" si="53"/>
        <v>1</v>
      </c>
      <c r="I168">
        <f t="shared" si="53"/>
        <v>1</v>
      </c>
      <c r="J168">
        <f t="shared" si="53"/>
        <v>1</v>
      </c>
      <c r="K168">
        <f t="shared" si="53"/>
        <v>1</v>
      </c>
      <c r="L168">
        <f t="shared" si="53"/>
        <v>1</v>
      </c>
      <c r="M168">
        <f t="shared" si="53"/>
        <v>1</v>
      </c>
      <c r="N168">
        <f t="shared" si="53"/>
        <v>1</v>
      </c>
      <c r="O168">
        <f t="shared" si="53"/>
        <v>1</v>
      </c>
      <c r="P168">
        <f t="shared" si="53"/>
        <v>1</v>
      </c>
      <c r="Q168">
        <f t="shared" si="53"/>
        <v>1</v>
      </c>
      <c r="R168">
        <f t="shared" si="53"/>
        <v>1</v>
      </c>
      <c r="S168">
        <f t="shared" si="53"/>
        <v>1</v>
      </c>
      <c r="T168">
        <f t="shared" si="53"/>
        <v>1</v>
      </c>
      <c r="U168">
        <f t="shared" si="53"/>
        <v>1</v>
      </c>
      <c r="V168">
        <f t="shared" si="53"/>
        <v>1</v>
      </c>
      <c r="W168">
        <f t="shared" si="53"/>
        <v>1</v>
      </c>
      <c r="X168">
        <f t="shared" si="53"/>
        <v>0</v>
      </c>
      <c r="Y168">
        <f t="shared" si="53"/>
        <v>1</v>
      </c>
      <c r="Z168">
        <f t="shared" si="53"/>
        <v>1</v>
      </c>
      <c r="AA168">
        <f t="shared" si="53"/>
        <v>0</v>
      </c>
      <c r="AB168">
        <f t="shared" si="53"/>
        <v>0</v>
      </c>
      <c r="AC168">
        <f t="shared" si="53"/>
        <v>0</v>
      </c>
      <c r="AD168">
        <f t="shared" si="53"/>
        <v>0</v>
      </c>
      <c r="AE168">
        <f t="shared" si="53"/>
        <v>0</v>
      </c>
      <c r="AF168">
        <f t="shared" si="53"/>
        <v>0</v>
      </c>
      <c r="AG168">
        <f t="shared" si="53"/>
        <v>0</v>
      </c>
      <c r="AH168">
        <f t="shared" si="53"/>
        <v>0</v>
      </c>
      <c r="AI168">
        <f t="shared" si="53"/>
        <v>0</v>
      </c>
      <c r="AJ168">
        <f t="shared" si="53"/>
        <v>0</v>
      </c>
      <c r="AK168">
        <f t="shared" si="53"/>
        <v>0</v>
      </c>
      <c r="AL168">
        <f t="shared" si="53"/>
        <v>0</v>
      </c>
      <c r="AM168">
        <f t="shared" si="53"/>
        <v>0</v>
      </c>
      <c r="AN168">
        <f t="shared" si="53"/>
        <v>0</v>
      </c>
      <c r="AO168">
        <f t="shared" si="53"/>
        <v>0</v>
      </c>
      <c r="AP168">
        <f t="shared" si="53"/>
        <v>0</v>
      </c>
      <c r="AQ168">
        <f t="shared" si="53"/>
        <v>0</v>
      </c>
      <c r="AR168">
        <f t="shared" si="53"/>
        <v>0</v>
      </c>
      <c r="AS168">
        <f t="shared" si="53"/>
        <v>0</v>
      </c>
      <c r="AT168">
        <f t="shared" si="53"/>
        <v>0</v>
      </c>
      <c r="AU168">
        <f t="shared" si="53"/>
        <v>0</v>
      </c>
      <c r="AV168">
        <f t="shared" si="53"/>
        <v>0</v>
      </c>
      <c r="AW168">
        <f t="shared" si="53"/>
        <v>0</v>
      </c>
      <c r="AX168">
        <f t="shared" si="53"/>
        <v>0</v>
      </c>
      <c r="AY168">
        <f t="shared" si="53"/>
        <v>0</v>
      </c>
      <c r="AZ168">
        <f t="shared" si="53"/>
        <v>0</v>
      </c>
      <c r="BA168">
        <f t="shared" si="53"/>
        <v>0</v>
      </c>
      <c r="BB168">
        <f t="shared" si="53"/>
        <v>0</v>
      </c>
      <c r="BC168">
        <f t="shared" si="53"/>
        <v>0</v>
      </c>
      <c r="BD168">
        <f t="shared" si="49"/>
        <v>35</v>
      </c>
    </row>
    <row r="171" spans="2:56">
      <c r="B171" t="s">
        <v>178</v>
      </c>
      <c r="C171">
        <f t="shared" ref="C171:BC171" si="54">COUNTIF(C4:C59, "ID1")</f>
        <v>0</v>
      </c>
      <c r="D171">
        <f t="shared" si="54"/>
        <v>0</v>
      </c>
      <c r="E171">
        <f t="shared" si="54"/>
        <v>0</v>
      </c>
      <c r="F171">
        <f t="shared" si="54"/>
        <v>1</v>
      </c>
      <c r="G171">
        <f t="shared" si="54"/>
        <v>1</v>
      </c>
      <c r="H171">
        <f t="shared" si="54"/>
        <v>1</v>
      </c>
      <c r="I171">
        <f t="shared" si="54"/>
        <v>1</v>
      </c>
      <c r="J171">
        <f t="shared" si="54"/>
        <v>1</v>
      </c>
      <c r="K171">
        <f t="shared" si="54"/>
        <v>1</v>
      </c>
      <c r="L171">
        <f t="shared" si="54"/>
        <v>1</v>
      </c>
      <c r="M171">
        <f t="shared" si="54"/>
        <v>1</v>
      </c>
      <c r="N171">
        <f t="shared" si="54"/>
        <v>1</v>
      </c>
      <c r="O171">
        <f t="shared" si="54"/>
        <v>1</v>
      </c>
      <c r="P171">
        <f t="shared" si="54"/>
        <v>1</v>
      </c>
      <c r="Q171">
        <f t="shared" si="54"/>
        <v>1</v>
      </c>
      <c r="R171">
        <f t="shared" si="54"/>
        <v>0</v>
      </c>
      <c r="S171">
        <f t="shared" si="54"/>
        <v>0</v>
      </c>
      <c r="T171">
        <f t="shared" si="54"/>
        <v>0</v>
      </c>
      <c r="U171">
        <f t="shared" si="54"/>
        <v>0</v>
      </c>
      <c r="V171">
        <f t="shared" si="54"/>
        <v>0</v>
      </c>
      <c r="W171">
        <f t="shared" si="54"/>
        <v>0</v>
      </c>
      <c r="X171">
        <f t="shared" si="54"/>
        <v>0</v>
      </c>
      <c r="Y171">
        <f t="shared" si="54"/>
        <v>0</v>
      </c>
      <c r="Z171">
        <f t="shared" si="54"/>
        <v>0</v>
      </c>
      <c r="AA171">
        <f t="shared" si="54"/>
        <v>0</v>
      </c>
      <c r="AB171">
        <f t="shared" si="54"/>
        <v>0</v>
      </c>
      <c r="AC171">
        <f t="shared" si="54"/>
        <v>0</v>
      </c>
      <c r="AD171">
        <f t="shared" si="54"/>
        <v>0</v>
      </c>
      <c r="AE171">
        <f t="shared" si="54"/>
        <v>0</v>
      </c>
      <c r="AF171">
        <f t="shared" si="54"/>
        <v>0</v>
      </c>
      <c r="AG171">
        <f t="shared" si="54"/>
        <v>0</v>
      </c>
      <c r="AH171">
        <f t="shared" si="54"/>
        <v>0</v>
      </c>
      <c r="AI171">
        <f t="shared" si="54"/>
        <v>0</v>
      </c>
      <c r="AJ171">
        <f t="shared" si="54"/>
        <v>0</v>
      </c>
      <c r="AK171">
        <f t="shared" si="54"/>
        <v>0</v>
      </c>
      <c r="AL171">
        <f t="shared" si="54"/>
        <v>0</v>
      </c>
      <c r="AM171">
        <f t="shared" si="54"/>
        <v>0</v>
      </c>
      <c r="AN171">
        <f t="shared" si="54"/>
        <v>0</v>
      </c>
      <c r="AO171">
        <f t="shared" si="54"/>
        <v>0</v>
      </c>
      <c r="AP171">
        <f t="shared" si="54"/>
        <v>0</v>
      </c>
      <c r="AQ171">
        <f t="shared" si="54"/>
        <v>0</v>
      </c>
      <c r="AR171">
        <f t="shared" si="54"/>
        <v>0</v>
      </c>
      <c r="AS171">
        <f t="shared" si="54"/>
        <v>0</v>
      </c>
      <c r="AT171">
        <f t="shared" si="54"/>
        <v>0</v>
      </c>
      <c r="AU171">
        <f t="shared" si="54"/>
        <v>0</v>
      </c>
      <c r="AV171">
        <f t="shared" si="54"/>
        <v>0</v>
      </c>
      <c r="AW171">
        <f t="shared" si="54"/>
        <v>0</v>
      </c>
      <c r="AX171">
        <f t="shared" si="54"/>
        <v>0</v>
      </c>
      <c r="AY171">
        <f t="shared" si="54"/>
        <v>0</v>
      </c>
      <c r="AZ171">
        <f t="shared" si="54"/>
        <v>0</v>
      </c>
      <c r="BA171">
        <f t="shared" si="54"/>
        <v>0</v>
      </c>
      <c r="BB171">
        <f t="shared" si="54"/>
        <v>0</v>
      </c>
      <c r="BC171">
        <f t="shared" si="54"/>
        <v>0</v>
      </c>
      <c r="BD171">
        <f t="shared" ref="BD171:BD172" si="55">COUNTIF(C171:BC171, "0")</f>
        <v>41</v>
      </c>
    </row>
    <row r="172" spans="2:56">
      <c r="B172" t="s">
        <v>179</v>
      </c>
      <c r="C172">
        <f>COUNTIF(C4:C59, "jeopardy")</f>
        <v>0</v>
      </c>
      <c r="D172">
        <f t="shared" ref="C172:D172" si="56">COUNTIF(D4:D59, "jeopardy")</f>
        <v>0</v>
      </c>
      <c r="E172">
        <f>COUNTIF(E4:E59, "jeopardy")</f>
        <v>0</v>
      </c>
      <c r="F172">
        <f t="shared" ref="F172:BC172" si="57">COUNTIF(F4:F59, "jeopardy")</f>
        <v>0</v>
      </c>
      <c r="G172">
        <f t="shared" si="57"/>
        <v>0</v>
      </c>
      <c r="H172">
        <f t="shared" si="57"/>
        <v>0</v>
      </c>
      <c r="I172">
        <f t="shared" si="57"/>
        <v>0</v>
      </c>
      <c r="J172">
        <f t="shared" si="57"/>
        <v>0</v>
      </c>
      <c r="K172">
        <f t="shared" si="57"/>
        <v>0</v>
      </c>
      <c r="L172">
        <f t="shared" si="57"/>
        <v>0</v>
      </c>
      <c r="M172">
        <f t="shared" si="57"/>
        <v>0</v>
      </c>
      <c r="N172">
        <f t="shared" si="57"/>
        <v>0</v>
      </c>
      <c r="O172">
        <f t="shared" si="57"/>
        <v>0</v>
      </c>
      <c r="P172">
        <f t="shared" si="57"/>
        <v>0</v>
      </c>
      <c r="Q172">
        <f t="shared" si="57"/>
        <v>0</v>
      </c>
      <c r="R172">
        <f t="shared" si="57"/>
        <v>0</v>
      </c>
      <c r="S172">
        <f t="shared" si="57"/>
        <v>0</v>
      </c>
      <c r="T172">
        <f t="shared" si="57"/>
        <v>0</v>
      </c>
      <c r="U172">
        <f t="shared" si="57"/>
        <v>0</v>
      </c>
      <c r="V172">
        <f t="shared" si="57"/>
        <v>0</v>
      </c>
      <c r="W172">
        <f t="shared" si="57"/>
        <v>0</v>
      </c>
      <c r="X172">
        <f t="shared" si="57"/>
        <v>0</v>
      </c>
      <c r="Y172">
        <f t="shared" si="57"/>
        <v>0</v>
      </c>
      <c r="Z172">
        <f t="shared" si="57"/>
        <v>0</v>
      </c>
      <c r="AA172">
        <f t="shared" si="57"/>
        <v>0</v>
      </c>
      <c r="AB172">
        <f t="shared" si="57"/>
        <v>0</v>
      </c>
      <c r="AC172">
        <f t="shared" si="57"/>
        <v>0</v>
      </c>
      <c r="AD172">
        <f t="shared" si="57"/>
        <v>0</v>
      </c>
      <c r="AE172">
        <f t="shared" si="57"/>
        <v>0</v>
      </c>
      <c r="AF172">
        <f t="shared" si="57"/>
        <v>0</v>
      </c>
      <c r="AG172">
        <f t="shared" si="57"/>
        <v>0</v>
      </c>
      <c r="AH172">
        <f t="shared" si="57"/>
        <v>0</v>
      </c>
      <c r="AI172">
        <f t="shared" si="57"/>
        <v>0</v>
      </c>
      <c r="AJ172">
        <f t="shared" si="57"/>
        <v>0</v>
      </c>
      <c r="AK172">
        <f t="shared" si="57"/>
        <v>0</v>
      </c>
      <c r="AL172">
        <f t="shared" si="57"/>
        <v>0</v>
      </c>
      <c r="AM172">
        <f t="shared" si="57"/>
        <v>0</v>
      </c>
      <c r="AN172">
        <f t="shared" si="57"/>
        <v>0</v>
      </c>
      <c r="AO172">
        <f t="shared" si="57"/>
        <v>0</v>
      </c>
      <c r="AP172">
        <f t="shared" si="57"/>
        <v>0</v>
      </c>
      <c r="AQ172">
        <f t="shared" si="57"/>
        <v>0</v>
      </c>
      <c r="AR172">
        <f t="shared" si="57"/>
        <v>0</v>
      </c>
      <c r="AS172">
        <f t="shared" si="57"/>
        <v>0</v>
      </c>
      <c r="AT172">
        <f t="shared" si="57"/>
        <v>0</v>
      </c>
      <c r="AU172">
        <f t="shared" si="57"/>
        <v>0</v>
      </c>
      <c r="AV172">
        <f t="shared" si="57"/>
        <v>0</v>
      </c>
      <c r="AW172">
        <f t="shared" si="57"/>
        <v>0</v>
      </c>
      <c r="AX172">
        <f t="shared" si="57"/>
        <v>0</v>
      </c>
      <c r="AY172">
        <f t="shared" si="57"/>
        <v>0</v>
      </c>
      <c r="AZ172">
        <f t="shared" si="57"/>
        <v>0</v>
      </c>
      <c r="BA172">
        <f t="shared" si="57"/>
        <v>0</v>
      </c>
      <c r="BB172">
        <f t="shared" si="57"/>
        <v>0</v>
      </c>
      <c r="BC172">
        <f t="shared" si="57"/>
        <v>0</v>
      </c>
      <c r="BD172">
        <f t="shared" si="55"/>
        <v>53</v>
      </c>
    </row>
    <row r="174" spans="2:56">
      <c r="B174" t="s">
        <v>223</v>
      </c>
      <c r="C174">
        <f>COUNTIF(C4:C59, "OP")</f>
        <v>0</v>
      </c>
      <c r="D174">
        <f>COUNTIF(D4:D126, "OP")</f>
        <v>4</v>
      </c>
      <c r="E174">
        <f>COUNTIF(E4:E126, "OP")</f>
        <v>2</v>
      </c>
      <c r="F174">
        <f>COUNTIF(F4:F126, "OP")</f>
        <v>3</v>
      </c>
      <c r="G174">
        <f>COUNTIF(G4:G126, "OP")</f>
        <v>3</v>
      </c>
      <c r="H174">
        <f>COUNTIF(H4:H126, "OP")</f>
        <v>4</v>
      </c>
      <c r="I174">
        <f>COUNTIF(I4:I126, "OP")</f>
        <v>4</v>
      </c>
      <c r="J174">
        <f>COUNTIF(J4:J126, "OP")</f>
        <v>3</v>
      </c>
      <c r="K174">
        <f>COUNTIF(K4:K126, "OP")</f>
        <v>4</v>
      </c>
      <c r="L174">
        <f>COUNTIF(L4:L126, "OP")</f>
        <v>22</v>
      </c>
      <c r="M174">
        <f>COUNTIF(M4:M126, "OP")</f>
        <v>0</v>
      </c>
      <c r="N174">
        <f>COUNTIF(N4:N126, "OP")</f>
        <v>0</v>
      </c>
      <c r="O174">
        <f>COUNTIF(O4:O126, "OP")</f>
        <v>0</v>
      </c>
      <c r="P174">
        <f>COUNTIF(P4:P126, "OP")</f>
        <v>0</v>
      </c>
      <c r="Q174">
        <f>COUNTIF(Q4:Q126, "OP")</f>
        <v>0</v>
      </c>
      <c r="R174">
        <f>COUNTIF(R4:R126, "OP")</f>
        <v>0</v>
      </c>
      <c r="S174">
        <f>COUNTIF(S4:S126, "OP")</f>
        <v>0</v>
      </c>
      <c r="T174">
        <f>COUNTIF(T4:T126, "OP")</f>
        <v>0</v>
      </c>
      <c r="U174">
        <f>COUNTIF(U4:U126, "OP")</f>
        <v>0</v>
      </c>
      <c r="V174">
        <f>COUNTIF(V4:V126, "OP")</f>
        <v>0</v>
      </c>
      <c r="W174">
        <f>COUNTIF(W4:W126, "OP")</f>
        <v>0</v>
      </c>
      <c r="X174">
        <f>COUNTIF(X4:X126, "OP")</f>
        <v>0</v>
      </c>
      <c r="Y174">
        <f>COUNTIF(Y4:Y126, "OP")</f>
        <v>0</v>
      </c>
      <c r="Z174">
        <f>COUNTIF(Z4:Z126, "OP")</f>
        <v>0</v>
      </c>
      <c r="AA174">
        <f>COUNTIF(AA4:AA126, "OP")</f>
        <v>0</v>
      </c>
      <c r="AB174">
        <f>COUNTIF(AB4:AB126, "OP")</f>
        <v>0</v>
      </c>
      <c r="AC174">
        <f>COUNTIF(AC4:AC126, "OP")</f>
        <v>0</v>
      </c>
      <c r="AD174">
        <f>COUNTIF(AD4:AD126, "OP")</f>
        <v>0</v>
      </c>
      <c r="AE174">
        <f>COUNTIF(AE4:AE126, "OP")</f>
        <v>0</v>
      </c>
      <c r="AF174">
        <f>COUNTIF(AF4:AF126, "OP")</f>
        <v>0</v>
      </c>
      <c r="AG174">
        <f>COUNTIF(AG4:AG126, "OP")</f>
        <v>0</v>
      </c>
      <c r="AH174">
        <f>COUNTIF(AH4:AH126, "OP")</f>
        <v>0</v>
      </c>
      <c r="AI174">
        <f>COUNTIF(AI4:AI126, "OP")</f>
        <v>0</v>
      </c>
      <c r="AJ174">
        <f>COUNTIF(AJ4:AJ126, "OP")</f>
        <v>0</v>
      </c>
      <c r="AK174">
        <f>COUNTIF(AK4:AK126, "OP")</f>
        <v>0</v>
      </c>
      <c r="AL174">
        <f>COUNTIF(AL4:AL126, "OP")</f>
        <v>0</v>
      </c>
      <c r="AM174">
        <f>COUNTIF(AM4:AM126, "OP")</f>
        <v>0</v>
      </c>
      <c r="AN174">
        <f>COUNTIF(AN4:AN126, "OP")</f>
        <v>0</v>
      </c>
      <c r="AO174">
        <f>COUNTIF(AO4:AO126, "OP")</f>
        <v>0</v>
      </c>
      <c r="AP174">
        <f>COUNTIF(AP4:AP126, "OP")</f>
        <v>0</v>
      </c>
      <c r="AQ174">
        <f>COUNTIF(AQ4:AQ126, "OP")</f>
        <v>0</v>
      </c>
      <c r="AR174">
        <f>COUNTIF(AR4:AR126, "OP")</f>
        <v>0</v>
      </c>
      <c r="AS174">
        <f>COUNTIF(AS4:AS126, "OP")</f>
        <v>0</v>
      </c>
      <c r="AT174">
        <f>COUNTIF(AT4:AT126, "OP")</f>
        <v>0</v>
      </c>
      <c r="AU174">
        <f>COUNTIF(AU4:AU126, "OP")</f>
        <v>0</v>
      </c>
      <c r="AV174">
        <f>COUNTIF(AV4:AV126, "OP")</f>
        <v>0</v>
      </c>
      <c r="AW174">
        <f>COUNTIF(AW4:AW126, "OP")</f>
        <v>0</v>
      </c>
      <c r="AX174">
        <f>COUNTIF(AX4:AX126, "OP")</f>
        <v>0</v>
      </c>
      <c r="AY174">
        <f>COUNTIF(AY4:AY126, "OP")</f>
        <v>0</v>
      </c>
      <c r="AZ174">
        <f>COUNTIF(AZ4:AZ126, "OP")</f>
        <v>0</v>
      </c>
      <c r="BA174">
        <f>COUNTIF(BA4:BA126, "OP")</f>
        <v>0</v>
      </c>
      <c r="BB174">
        <f>COUNTIF(BB4:BB126, "OP")</f>
        <v>0</v>
      </c>
      <c r="BC174">
        <f>COUNTIF(BC4:BC126, "OP")</f>
        <v>0</v>
      </c>
      <c r="BD174" t="s">
        <v>149</v>
      </c>
    </row>
    <row r="175" spans="2:56">
      <c r="B175" t="s">
        <v>224</v>
      </c>
      <c r="C175">
        <f>COUNTIF(C4:C59, "")</f>
        <v>56</v>
      </c>
      <c r="D175">
        <f t="shared" ref="D175:BC175" si="58">COUNTIF(D4:D59, "")</f>
        <v>33</v>
      </c>
      <c r="E175">
        <f t="shared" si="58"/>
        <v>28</v>
      </c>
      <c r="F175">
        <f t="shared" si="58"/>
        <v>22</v>
      </c>
      <c r="G175">
        <f t="shared" si="58"/>
        <v>20</v>
      </c>
      <c r="H175">
        <f t="shared" si="58"/>
        <v>18</v>
      </c>
      <c r="I175">
        <f t="shared" si="58"/>
        <v>18</v>
      </c>
      <c r="J175">
        <f t="shared" si="58"/>
        <v>18</v>
      </c>
      <c r="K175">
        <f t="shared" si="58"/>
        <v>17</v>
      </c>
      <c r="L175">
        <f t="shared" si="58"/>
        <v>0</v>
      </c>
      <c r="M175">
        <f t="shared" si="58"/>
        <v>22</v>
      </c>
      <c r="N175">
        <f t="shared" si="58"/>
        <v>22</v>
      </c>
      <c r="O175">
        <f t="shared" si="58"/>
        <v>22</v>
      </c>
      <c r="P175">
        <f t="shared" si="58"/>
        <v>21</v>
      </c>
      <c r="Q175">
        <f t="shared" si="58"/>
        <v>21</v>
      </c>
      <c r="R175">
        <f t="shared" si="58"/>
        <v>23</v>
      </c>
      <c r="S175">
        <f t="shared" si="58"/>
        <v>23</v>
      </c>
      <c r="T175">
        <f t="shared" si="58"/>
        <v>23</v>
      </c>
      <c r="U175">
        <f t="shared" si="58"/>
        <v>23</v>
      </c>
      <c r="V175">
        <f t="shared" si="58"/>
        <v>27</v>
      </c>
      <c r="W175">
        <f t="shared" si="58"/>
        <v>32</v>
      </c>
      <c r="X175">
        <f t="shared" si="58"/>
        <v>56</v>
      </c>
      <c r="Y175">
        <f t="shared" si="58"/>
        <v>42</v>
      </c>
      <c r="Z175">
        <f t="shared" si="58"/>
        <v>44</v>
      </c>
      <c r="AA175">
        <f t="shared" si="58"/>
        <v>46</v>
      </c>
      <c r="AB175">
        <f t="shared" si="58"/>
        <v>56</v>
      </c>
      <c r="AC175">
        <f t="shared" si="58"/>
        <v>56</v>
      </c>
      <c r="AD175">
        <f t="shared" si="58"/>
        <v>47</v>
      </c>
      <c r="AE175">
        <f t="shared" si="58"/>
        <v>46</v>
      </c>
      <c r="AF175">
        <f t="shared" si="58"/>
        <v>46</v>
      </c>
      <c r="AG175">
        <f t="shared" si="58"/>
        <v>47</v>
      </c>
      <c r="AH175">
        <f t="shared" si="58"/>
        <v>47</v>
      </c>
      <c r="AI175">
        <f t="shared" si="58"/>
        <v>47</v>
      </c>
      <c r="AJ175">
        <f t="shared" si="58"/>
        <v>47</v>
      </c>
      <c r="AK175">
        <f t="shared" si="58"/>
        <v>46</v>
      </c>
      <c r="AL175">
        <f t="shared" si="58"/>
        <v>46</v>
      </c>
      <c r="AM175">
        <f t="shared" si="58"/>
        <v>47</v>
      </c>
      <c r="AN175">
        <f t="shared" si="58"/>
        <v>47</v>
      </c>
      <c r="AO175">
        <f t="shared" si="58"/>
        <v>47</v>
      </c>
      <c r="AP175">
        <f t="shared" si="58"/>
        <v>47</v>
      </c>
      <c r="AQ175">
        <f t="shared" si="58"/>
        <v>46</v>
      </c>
      <c r="AR175">
        <f t="shared" si="58"/>
        <v>46</v>
      </c>
      <c r="AS175">
        <f t="shared" si="58"/>
        <v>47</v>
      </c>
      <c r="AT175">
        <f t="shared" si="58"/>
        <v>47</v>
      </c>
      <c r="AU175">
        <f t="shared" si="58"/>
        <v>47</v>
      </c>
      <c r="AV175">
        <f t="shared" si="58"/>
        <v>47</v>
      </c>
      <c r="AW175">
        <f t="shared" si="58"/>
        <v>46</v>
      </c>
      <c r="AX175">
        <f t="shared" si="58"/>
        <v>46</v>
      </c>
      <c r="AY175">
        <f t="shared" si="58"/>
        <v>47</v>
      </c>
      <c r="AZ175">
        <f t="shared" si="58"/>
        <v>47</v>
      </c>
      <c r="BA175">
        <f t="shared" si="58"/>
        <v>47</v>
      </c>
      <c r="BB175">
        <f t="shared" si="58"/>
        <v>47</v>
      </c>
      <c r="BC175">
        <f t="shared" si="58"/>
        <v>56</v>
      </c>
    </row>
    <row r="176" spans="2:56">
      <c r="B176" s="1" t="s">
        <v>180</v>
      </c>
      <c r="C176">
        <f t="shared" ref="C176:BC176" si="59">SUM(C163+C160+C161+C156+C152+C147+C140+C132)</f>
        <v>0</v>
      </c>
      <c r="D176">
        <f t="shared" si="59"/>
        <v>9</v>
      </c>
      <c r="E176">
        <f t="shared" si="59"/>
        <v>17</v>
      </c>
      <c r="F176">
        <f t="shared" si="59"/>
        <v>22</v>
      </c>
      <c r="G176">
        <f t="shared" si="59"/>
        <v>24</v>
      </c>
      <c r="H176">
        <f t="shared" si="59"/>
        <v>25</v>
      </c>
      <c r="I176">
        <f t="shared" si="59"/>
        <v>25</v>
      </c>
      <c r="J176">
        <f t="shared" si="59"/>
        <v>25</v>
      </c>
      <c r="K176">
        <f t="shared" si="59"/>
        <v>25</v>
      </c>
      <c r="L176">
        <f t="shared" si="59"/>
        <v>25</v>
      </c>
      <c r="M176">
        <f t="shared" si="59"/>
        <v>25</v>
      </c>
      <c r="N176">
        <f t="shared" si="59"/>
        <v>25</v>
      </c>
      <c r="O176">
        <f t="shared" si="59"/>
        <v>25</v>
      </c>
      <c r="P176">
        <f t="shared" si="59"/>
        <v>25</v>
      </c>
      <c r="Q176">
        <f t="shared" si="59"/>
        <v>25</v>
      </c>
      <c r="R176">
        <f t="shared" si="59"/>
        <v>25</v>
      </c>
      <c r="S176">
        <f t="shared" si="59"/>
        <v>25</v>
      </c>
      <c r="T176">
        <f t="shared" si="59"/>
        <v>25</v>
      </c>
      <c r="U176">
        <f t="shared" si="59"/>
        <v>25</v>
      </c>
      <c r="V176">
        <f t="shared" si="59"/>
        <v>20</v>
      </c>
      <c r="W176">
        <f t="shared" si="59"/>
        <v>14</v>
      </c>
      <c r="X176">
        <f t="shared" si="59"/>
        <v>0</v>
      </c>
      <c r="Y176">
        <f t="shared" si="59"/>
        <v>5</v>
      </c>
      <c r="Z176">
        <f t="shared" si="59"/>
        <v>3</v>
      </c>
      <c r="AA176">
        <f t="shared" si="59"/>
        <v>1</v>
      </c>
      <c r="AB176">
        <f t="shared" si="59"/>
        <v>0</v>
      </c>
      <c r="AC176">
        <f t="shared" si="59"/>
        <v>0</v>
      </c>
      <c r="AD176">
        <f t="shared" si="59"/>
        <v>0</v>
      </c>
      <c r="AE176">
        <f t="shared" si="59"/>
        <v>0</v>
      </c>
      <c r="AF176">
        <f t="shared" si="59"/>
        <v>0</v>
      </c>
      <c r="AG176">
        <f t="shared" si="59"/>
        <v>0</v>
      </c>
      <c r="AH176">
        <f t="shared" si="59"/>
        <v>0</v>
      </c>
      <c r="AI176">
        <f t="shared" si="59"/>
        <v>0</v>
      </c>
      <c r="AJ176">
        <f t="shared" si="59"/>
        <v>0</v>
      </c>
      <c r="AK176">
        <f t="shared" si="59"/>
        <v>0</v>
      </c>
      <c r="AL176">
        <f t="shared" si="59"/>
        <v>0</v>
      </c>
      <c r="AM176">
        <f t="shared" si="59"/>
        <v>0</v>
      </c>
      <c r="AN176">
        <f t="shared" si="59"/>
        <v>0</v>
      </c>
      <c r="AO176">
        <f t="shared" si="59"/>
        <v>0</v>
      </c>
      <c r="AP176">
        <f t="shared" si="59"/>
        <v>0</v>
      </c>
      <c r="AQ176">
        <f t="shared" si="59"/>
        <v>0</v>
      </c>
      <c r="AR176">
        <f t="shared" si="59"/>
        <v>0</v>
      </c>
      <c r="AS176">
        <f t="shared" si="59"/>
        <v>0</v>
      </c>
      <c r="AT176">
        <f t="shared" si="59"/>
        <v>0</v>
      </c>
      <c r="AU176">
        <f t="shared" si="59"/>
        <v>0</v>
      </c>
      <c r="AV176">
        <f t="shared" si="59"/>
        <v>0</v>
      </c>
      <c r="AW176">
        <f t="shared" si="59"/>
        <v>0</v>
      </c>
      <c r="AX176">
        <f t="shared" si="59"/>
        <v>0</v>
      </c>
      <c r="AY176">
        <f t="shared" si="59"/>
        <v>0</v>
      </c>
      <c r="AZ176">
        <f t="shared" si="59"/>
        <v>0</v>
      </c>
      <c r="BA176">
        <f t="shared" si="59"/>
        <v>0</v>
      </c>
      <c r="BB176">
        <f t="shared" si="59"/>
        <v>0</v>
      </c>
      <c r="BC176">
        <f t="shared" si="59"/>
        <v>0</v>
      </c>
    </row>
    <row r="177" spans="1:3">
      <c r="B177" t="s">
        <v>181</v>
      </c>
    </row>
    <row r="178" spans="1:3">
      <c r="A178" s="21"/>
      <c r="B178" t="s">
        <v>182</v>
      </c>
    </row>
    <row r="180" spans="1:3">
      <c r="B180" s="1" t="s">
        <v>183</v>
      </c>
    </row>
    <row r="181" spans="1:3">
      <c r="B181" t="s">
        <v>151</v>
      </c>
      <c r="C181">
        <f>SUM(C182:C191)</f>
        <v>0</v>
      </c>
    </row>
    <row r="182" spans="1:3">
      <c r="B182" s="9" t="s">
        <v>184</v>
      </c>
      <c r="C182">
        <f>COUNTIF(C60:C126, "iSLUH1")</f>
        <v>0</v>
      </c>
    </row>
    <row r="183" spans="1:3">
      <c r="B183" t="s">
        <v>185</v>
      </c>
      <c r="C183">
        <f>COUNTIF(C60:C126, "iSLUH2")</f>
        <v>0</v>
      </c>
    </row>
    <row r="184" spans="1:3">
      <c r="B184" t="s">
        <v>186</v>
      </c>
      <c r="C184">
        <f>COUNTIF(C60:C126, "iSLUH3")</f>
        <v>0</v>
      </c>
    </row>
    <row r="185" spans="1:3">
      <c r="B185" t="s">
        <v>187</v>
      </c>
      <c r="C185">
        <f>COUNTIF(C60:C126, "iSLUH4")</f>
        <v>0</v>
      </c>
    </row>
    <row r="186" spans="1:3">
      <c r="B186" t="s">
        <v>188</v>
      </c>
      <c r="C186">
        <f>COUNTIF(C60:C126, "iSLUH5")</f>
        <v>0</v>
      </c>
    </row>
    <row r="187" spans="1:3">
      <c r="B187" t="s">
        <v>189</v>
      </c>
      <c r="C187">
        <f>COUNTIF(C60:C126, "iSLUH6")</f>
        <v>0</v>
      </c>
    </row>
    <row r="188" spans="1:3">
      <c r="B188" t="s">
        <v>190</v>
      </c>
      <c r="C188">
        <f>COUNTIF(C60:C126, "iSLUH7")</f>
        <v>0</v>
      </c>
    </row>
    <row r="189" spans="1:3">
      <c r="B189" t="s">
        <v>191</v>
      </c>
      <c r="C189">
        <f>COUNTIF(C60:C126, "iSLUH8")</f>
        <v>0</v>
      </c>
    </row>
    <row r="190" spans="1:3">
      <c r="B190" s="14" t="s">
        <v>192</v>
      </c>
      <c r="C190">
        <f>COUNTIF(C60:C126, "iSLUH9")</f>
        <v>0</v>
      </c>
    </row>
    <row r="191" spans="1:3">
      <c r="B191" s="14" t="s">
        <v>193</v>
      </c>
      <c r="C191">
        <f>COUNTIF(C60:C126, "iSLUH10")</f>
        <v>0</v>
      </c>
    </row>
    <row r="193" spans="2:3">
      <c r="B193" t="s">
        <v>158</v>
      </c>
      <c r="C193">
        <f>SUM(C194:C198)</f>
        <v>0</v>
      </c>
    </row>
    <row r="194" spans="2:3">
      <c r="B194" t="s">
        <v>194</v>
      </c>
      <c r="C194">
        <f>COUNTIF(C60:C126, "iVA1")</f>
        <v>0</v>
      </c>
    </row>
    <row r="195" spans="2:3">
      <c r="B195" t="s">
        <v>195</v>
      </c>
      <c r="C195">
        <f>COUNTIF(C60:C126, "iVA2")</f>
        <v>0</v>
      </c>
    </row>
    <row r="196" spans="2:3">
      <c r="B196" t="s">
        <v>196</v>
      </c>
      <c r="C196">
        <f>COUNTIF(C60:C126, "iVA3")</f>
        <v>0</v>
      </c>
    </row>
    <row r="197" spans="2:3">
      <c r="B197" t="s">
        <v>197</v>
      </c>
      <c r="C197">
        <f>COUNTIF(C60:C126, "iVA4")</f>
        <v>0</v>
      </c>
    </row>
    <row r="198" spans="2:3">
      <c r="B198" t="s">
        <v>198</v>
      </c>
      <c r="C198">
        <f>COUNTIF(C60:C126, "iVA5")</f>
        <v>0</v>
      </c>
    </row>
    <row r="199" spans="2:3">
      <c r="B199" t="s">
        <v>199</v>
      </c>
      <c r="C199">
        <f>COUNTIF(C60:C126, "Vswing")</f>
        <v>0</v>
      </c>
    </row>
    <row r="201" spans="2:3">
      <c r="B201" t="s">
        <v>136</v>
      </c>
      <c r="C201">
        <f>SUM(C202:C204)</f>
        <v>0</v>
      </c>
    </row>
    <row r="202" spans="2:3">
      <c r="B202" t="s">
        <v>200</v>
      </c>
      <c r="C202">
        <f>COUNTIF(C60:C126, "iMICU1")</f>
        <v>0</v>
      </c>
    </row>
    <row r="203" spans="2:3">
      <c r="B203" t="s">
        <v>201</v>
      </c>
      <c r="C203">
        <f>COUNTIF(C60:C126, "iMICU2")</f>
        <v>0</v>
      </c>
    </row>
    <row r="204" spans="2:3">
      <c r="B204" s="14" t="s">
        <v>202</v>
      </c>
      <c r="C204">
        <f>COUNTIF(C60:C126, "iMICU3")</f>
        <v>0</v>
      </c>
    </row>
    <row r="206" spans="2:3">
      <c r="B206" t="s">
        <v>129</v>
      </c>
      <c r="C206">
        <f>SUM(C207:C210)</f>
        <v>0</v>
      </c>
    </row>
    <row r="207" spans="2:3">
      <c r="B207" t="s">
        <v>203</v>
      </c>
      <c r="C207">
        <f>COUNTIF(C60:C126, "iNF1")</f>
        <v>0</v>
      </c>
    </row>
    <row r="208" spans="2:3">
      <c r="B208" t="s">
        <v>204</v>
      </c>
      <c r="C208">
        <f>COUNTIF(C60:C126, "iNF2")</f>
        <v>0</v>
      </c>
    </row>
    <row r="209" spans="2:3">
      <c r="B209" t="s">
        <v>205</v>
      </c>
      <c r="C209">
        <f>COUNTIF(C60:C126, "iNF3")</f>
        <v>0</v>
      </c>
    </row>
    <row r="210" spans="2:3">
      <c r="B210" t="s">
        <v>206</v>
      </c>
      <c r="C210">
        <f>COUNTIF(C60:C126, "iNF4")</f>
        <v>0</v>
      </c>
    </row>
    <row r="212" spans="2:3">
      <c r="B212" t="s">
        <v>207</v>
      </c>
      <c r="C212">
        <f>COUNTIF(C60:C126, "icar")</f>
        <v>0</v>
      </c>
    </row>
    <row r="214" spans="2:3">
      <c r="B214" t="s">
        <v>208</v>
      </c>
      <c r="C214">
        <f>SUM(C212+C206+C201+C199+C193+C181)</f>
        <v>0</v>
      </c>
    </row>
    <row r="215" spans="2:3"/>
  </sheetData>
  <conditionalFormatting sqref="B180:B182 E105:AC105 E106:AO106 E107:AT107 E108:AX108 B185:C199 C200 C180:C184 B201:C215 B95:D128 AD4:BB94 B4:B94 C88:C94 R26:W26 R25:X25 R24:W24 AH105:BC105 AT106:BC106 AY107:BC107 A1:BC3 E95:BC104 E109:BC128 BD1:BN128 D180:BN215 Y4:AA94 D24:Q26 A4:A215 C129:BN179 D27:W94 D4:W23">
    <cfRule type="containsText" dxfId="2" priority="2" operator="containsText" text="Clinic">
      <formula>NOT(ISERROR(SEARCH("Clinic",A1)))</formula>
    </cfRule>
  </conditionalFormatting>
  <conditionalFormatting sqref="B140:B145 B147:B150 B152:B154 B156:B158 B160:B161 B131:B136 B163:B179">
    <cfRule type="containsText" dxfId="1" priority="1" operator="containsText" text="Clinic">
      <formula>NOT(ISERROR(SEARCH("Clinic",B131)))</formula>
    </cfRule>
  </conditionalFormatting>
  <pageMargins left="0.7" right="0.7" top="0.75" bottom="0.75" header="0.3" footer="0.3"/>
  <legacyDrawing r:id="rId1"/>
  <extLst>
    <ext xmlns:x14="http://schemas.microsoft.com/office/spreadsheetml/2009/9/main" uri="{CCE6A557-97BC-4b89-ADB6-D9C93CAAB3DF}">
      <x14:dataValidations xmlns:xm="http://schemas.microsoft.com/office/excel/2006/main" count="3">
        <x14:dataValidation type="list" allowBlank="1" showInputMessage="1" showErrorMessage="1" xr:uid="{9EA093C4-351C-4D77-B4F0-C7D5E8384066}">
          <x14:formula1>
            <xm:f>'Rotation List'!$A$38:$A$61</xm:f>
          </x14:formula1>
          <xm:sqref>D65:F65 E63:F63 E60:G60 AZ62:BB62 H63:J63 K60:M60 G62:I62 D64:E64 BA63:BB63 AD64:AF64 BB64 AK65:AM65 AQ65:AS65 AR60:AT60 M62:O62 AW65:AY65 AV70:AX70 AV76:AX76 AV82:AX82 Y60:Z60 AF60:AH60 AL60:AN60 AX60:AZ60 F61:H61 L61:N61 Q60:S60 W60 R61:T61 Y61:AA61 AM61:AO61 AY61:BA61 AS61:AU61 AG61:AI61 S62:U62 AD62 Z62:AA62 AH62:AJ62 AN62:AP62 AT62:AV62 I64:K64 J65:L65 D62:D63 N63:P63 T63:V63 AA63 AD63:AE63 AI63:AK63 AO63:AQ63 AU63:AW63 O64:Q64 U64:W64 P65:R65 V65:W65 Y65 AE65:AG65 AJ64:AL64 AP64:AR64 AV64:AX64 D71:F71 E69:F69 E66:G66 AZ68:BB68 H69:J69 K66:M66 G68:I68 D70:E70 BA69:BB69 AD70:AF70 BB70 AK71:AM71 AQ71:AS71 AR66:AT66 M68:O68 AW71:AY71 Y66:Z66 AF66:AH66 AL66:AN66 AX66:AZ66 F67:H67 L67:N67 Q66:S66 W66 R67:T67 Y67:AA67 AM67:AO67 AY67:BA67 AS67:AU67 AG67:AI67 S68:U68 AD68 Z68:AA68 AH68:AJ68 AN68:AP68 AT68:AV68 I70:K70 J71:L71 D68:D69 N69:P69 T69:V69 AA69 AD69:AE69 AI69:AK69 AO69:AQ69 AU69:AW69 O70:Q70 U70:W70 P71:R71 V71:W71 Y71 AE71:AG71 AJ70:AL70 AP70:AR70 D77:F77 E75:F75 E72:G72 AZ74:BB74 H75:J75 K72:M72 G74:I74 D76:E76 BA75:BB75 AD76:AF76 BB76 AK77:AM77 AQ77:AS77 AR72:AT72 M74:O74 AW77:AY77 Y72:Z72 AF72:AH72 AL72:AN72 AX72:AZ72 F73:H73 L73:N73 Q72:S72 W72 R73:T73 Y73:AA73 AM73:AO73 AY73:BA73 AS73:AU73 AG73:AI73 S74:U74 AD74 Z74:AA74 AH74:AJ74 AN74:AP74 AT74:AV74 I76:K76 J77:L77 D74:D75 N75:P75 T75:V75 AA75 AD75:AE75 AI75:AK75 AO75:AQ75 AU75:AW75 O76:Q76 U76:W76 P77:R77 V77:W77 Y77 AE77:AG77 AJ76:AL76 AP76:AR76 D83:F83 E81:F81 E78:G78 AZ80:BB80 H81:J81 K78:M78 G80:I80 D82:E82 BA81:BB81 AD82:AF82 BB82 AK83:AM83 AQ83:AS83 AR78:AT78 M80:O80 AW83:AY83 Y78:Z78 AF78:AH78 AL78:AN78 AX78:AZ78 F79:H79 L79:N79 Q78:S78 W78 R79:T79 Y79:AA79 AM79:AO79 AY79:BA79 AS79:AU79 AG79:AI79 S80:U80 AD80 Z80:AA80 AH80:AJ80 AN80:AP80 AT80:AV80 I82:K82 J83:L83 D80:D81 N81:P81 T81:V81 AA81 AD81:AE81 AI81:AK81 AO81:AQ81 AU81:AW81 O82:Q82 U82:W82 P83:R83 V83:W83 Y83 AE83:AG83 AJ82:AL82 AP82:AR82 D89:F89 E87:F87 E84:G84 AZ86:BB86 H87:J87 K84:M84 G86:I86 D88:E88 BA87:BB87 AD88:AF88 BB88 AK89:AM89 AQ89:AS89 AR84:AT84 M86:O86 AW89:AY89 Y84:Z84 AF84:AH84 AL84:AN84 AX84:AZ84 F85:H85 L85:N85 Q84:S84 W84 R85:T85 Y85:AA85 AM85:AO85 AY85:BA85 AS85:AU85 AG85:AI85 S86:U86 AD86 Z86:AA86 AH86:AJ86 AN86:AP86 AT86:AV86 I88:K88 J89:L89 D86:D87 N87:P87 T87:V87 AA87 AD87:AE87 AI87:AK87 AO87:AQ87 AU87:AW87 O88:Q88 U88:W88 P89:R89 V89:W89 Y89 AE89:AG89 AJ88:AL88 AP88:AR88 AV88:AX88 E93:F93 E90:G90 AZ92:BB92 H93:J93 K90:M90 G92:I92 D94:E94 BA93:BB93 AD94:AF94 BB94 AR90:AT90 M92:O92 Y90:Z90 AF90:AH90 AL90:AN90 AX90:AZ90 F91:H91 L91:N91 Q90:S90 W90 R91:T91 Y91:AA91 AM91:AO91 AY91:BA91 AS91:AU91 AG91:AI91 S92:U92 AD92 Z92:AA92 AH92:AJ92 AN92:AP92 AT92:AV92 I94:K94 D92:D93 N93:P93 T93:V93 AA93 AD93:AE93 AI93:AK93 AO93:AQ93 AU93:AW93 O94:Q94 U94:W94 AJ94:AL94 AP94:AR94 AV94:AX94</xm:sqref>
        </x14:dataValidation>
        <x14:dataValidation type="list" allowBlank="1" showDropDown="1" showInputMessage="1" showErrorMessage="1" xr:uid="{0465102A-A7E1-4018-B476-44D88B666031}">
          <x14:formula1>
            <xm:f>'Rotation List'!$A$6:$A$32</xm:f>
          </x14:formula1>
          <xm:sqref>F6 L6 R6 Y6 AG6 AM6 AS6 AY6 F12 L12 R12 Y12 AG12 AM12 AS12 AY12 F18 L18 R18 Y18 AG18 AM18 AS18 AY18 F24 L24 R24 Y24 AG24 AM24 AS24 AY24 F30 L30 R30 Y30 AG30 AM30 AS30 AY30 F36 L36 R36 Y36 AG36 AM36 AS36 AY36 F42 L42 R42 Y42 AG42 AM42 AS42 AY42 F48 L48 R48 Y48 AG48 AM48 AS48 AY48 F54 L54 R54 Y54 AG54 AM54 AS54 AY54</xm:sqref>
        </x14:dataValidation>
        <x14:dataValidation type="list" allowBlank="1" showInputMessage="1" showErrorMessage="1" xr:uid="{CDF3DCA9-E6D6-41AB-99CF-C4DE239092C3}">
          <x14:formula1>
            <xm:f>'Rotation List'!$A$6:$A$32</xm:f>
          </x14:formula1>
          <xm:sqref>R41 T19:U19 S4 J51 R5:T5 N7:P7 F29:H29 E4:F4 P9 U8:W8 S6 L11 P11:P13 T9 R33 R9 V9:W9 W10 Y5:AA5 Z6:AA6 Y9 R11:T11 AA7 AD6:AD8 AF4:AH4 AG5:AI5 AH6:AJ6 AJ8:AL8 AI7:AK7 AE8:AF8 AE7 AE9:AG9 AL4:AN4 AM5:AO5 AN6:AP6 AP8:AR8 AO7:AQ7 AK9:AM9 AR4:AT4 AS5:AU5 AT6:AV6 AV8:AX8 AU7:AW7 AQ9:AS9 AX4:AZ4 AY5:BA5 AZ6:BB6 BB8 BA7:BB7 AW9:AY9 E8:E9 S24 L5:N5 I11:I12 Y58:Z58 S52 W4 K16:L16 G28 S21:S22 N13:O13 G12 J5:J7 E10:F10 Y4:Z4 N9:N11 Q10:S10 V15:W15 W16 Y11:AA11 Z12:AA12 Y15 Y10:Z10 AA13 AD12:AD14 AF10:AH10 AG11:AI11 AH12:AJ12 AJ14:AL14 AI13:AK13 AE14:AF14 AE13 AE15:AG15 AL10:AN10 AM11:AO11 AN12:AP12 AP14:AR14 AO13:AQ13 AK15:AM15 AR10:AT10 AS11:AU11 AT12:AV12 AV14:AX14 AU13:AW13 AQ15:AS15 AX10:AZ10 AY11:BA11 AZ12:BB12 BB14 BA13:BB13 AW15:AY15 E14 T59 H23 M18 O17:O18 L8:L9 H47 T15:T17 V17:V19 M15:M16 G40:G42 G24:I24 G18:I18 R14:R15 U47 N31:P31 Y17:AA17 Z18:AA18 Y16:Z16 AA19 AD18:AD20 AF16:AH16 AG17:AI17 AH18:AJ18 AJ20:AL20 AI19:AK19 AE20:AF20 AE19 AE21:AG21 AL16:AN16 AM17:AO17 AN18:AP18 AP20:AR20 AO19:AQ19 AK21:AM21 AR16:AT16 AS17:AU17 AT18:AV18 AV20:AX20 AU19:AW19 AQ21:AS21 AX16:AZ16 AY17:BA17 AZ18:BB18 BB20 BA19:BB19 AW21:AY21 W21:W22 AY59:BA59 U56:W56 G30:I30 U50:V50 E15:F15 E22 J21:L21 H34 K22:M22 U26:W26 E56 L23:N23 G22 T43 L53 U22:U23 P35 V21 Y23:AA23 Z24:AA24 Z27 AA25 AD24:AD26 AF22:AH22 AG23:AI23 AH24:AJ24 AJ26:AL26 AI25:AK25 AE26:AF26 AE25 AE27:AG27 AL22:AN22 AM23:AO23 AN24:AP24 AP26:AR26 AO25:AQ25 AK27:AM27 AR22:AT22 AS23:AU23 AT24:AV24 AV26:AX26 AU25:AW25 AQ27:AS27 AX22:AZ22 AY23:BA23 AZ24:BB24 BB26 BA25:BB25 AW27:AY27 E26 H27 U38:W38 I32:K32 H31:J31 D31 AV56:AX56 R35 I56:K56 O28 J23 P27:R27 I50:K50 H25:J25 I14:K14 H19:J19 F5 M24:O24 V33:W33 T24:U25 Y29:AA29 Z30:AA30 Y33 Y28:Z28 AA31 AD30:AD32 AF28:AH28 AG29:AI29 AH30:AJ30 AJ32:AL32 AI31:AK31 AE32:AF32 AE31 AE33:AG33 AL28:AN28 AM29:AO29 AN30:AP30 AP32:AR32 AO31:AQ31 AK33:AM33 AR28:AT28 AS29:AU29 AT30:AV30 AV32:AX32 AU31:AW31 AQ33:AS33 AX28:AZ28 AY29:BA29 AZ30:BB30 BB32 BA31:BB31 AW33:AY33 D32:E33 W49 G36:H36 I52 E21:F21 H7:I7 N37:P37 K4 Y20:Y22 L29:N29 M28 O34 I35 K37 O20:Q20 I26:K26 M58 V39:W39 R53:T53 Y35:AA35 Z36:AA36 Y39 Y34:Z34 AA37 AT54:AV54 AF34:AH34 AG35:AI35 AH36:AJ36 AJ38:AL38 AI37:AK37 Q40:S40 AE37 AE39:AG39 AL34:AN34 AM35:AO35 AN36:AP36 AP38:AR38 AO37:AQ37 AK39:AM39 AR34:AT34 AS35:AU35 AT36:AV36 AV38:AX38 AU37:AW37 AQ39:AS39 AX34:AZ34 AY35:BA35 AZ36:BB36 BB38 BA37:BB37 AW39:AY39 W34 N25:P25 E38:E40 W52 F39:F41 D44:E44 D43 Q22 J43:J45 I38:J38 E16:G16 J33:L33 O32:Q32 M39 W40 I42:I44 AX58:AZ58 O26:Q26 Q58 N55:P55 V45 Y41:AA41 Z42:AA42 Y45 Y40:Z40 AA43 AD42:AD44 P39:R39 AG41:AI41 AD38:AF38 AF40:AH40 AI43:AK43 AE44:AF44 AE43 AE45:AG45 AL40:AN40 AM41:AO41 AN42:AP42 AP44:AR44 AO43:AQ43 AK45:AM45 AR40:AT40 AS41:AU41 AT42:AV42 AV44:AX44 AU43:AW43 AQ45:AS45 AX40:AZ40 AY41:BA41 AZ42:BB42 BB44 BA43:BB43 AW45:AY45 K12:K13 E20 E50 N27 T13:V13 E46:G46 D25:D27 S45 M46:M48 H41:H43 G48 Q46:R46 S48:T48 K44:K46 L45:L47 E58 Q50:Q52 K40:L40 Q43 U43:V44 W44:W46 Y47:AA47 Z48:AA48 Y46:Z46 AA49 AD48:AD50 AF46:AH46 AG47:AI47 AH48:AJ48 AJ50:AL50 AI49:AK49 AE50:AF50 AE49 AE51:AG51 AH42:AJ42 AM47:AO47 AJ44:AL44 AL46:AN46 AO49:AQ49 AK51:AM51 AR46:AT46 AS47:AU47 AT48:AV48 AV50:AX50 AU49:AW49 AQ51:AS51 AX46:AZ46 AY47:BA47 AZ48:BB48 BB50 BA49:BB49 AW51:AY51 T37:V37 S36:U36 F53:H53 H57 F45 O44:P44 K52:M52 L59:N59 N47:N49 O56:Q56 H49:J49 J57:L57 F17:H17 M54:O54 O41 T55:V55 M36:O36 S54:U54 Y53:AA53 Z54:AA54 Y57 Y52:Z52 AA55 AD54:AD56 AF52:AH52 AG53:AI53 AH54:AJ54 AJ56:AL56 AI55:AK55 AE56:AF56 AE55 AE57:AG57 AL52:AN52 AM53:AO53 AN54:AP54 AP56:AR56 AO55:AQ55 AK57:AM57 AN48:AP48 AS53:AU53 AP50:AR50 AR52:AT52 AU55:AW55 AQ57:AS57 AX52:AZ52 AY53:BA53 AZ54:BB54 BB56 BA55:BB55 AW57:AY57 S12 F59:H59 P57:R57 J9 G54:I54 H55:J55 W58 Y59:AA59 V57:W57 AF58:AH58 AG59:AI59 AL58:AN58 AM59:AO59 AR58:AT58 AS59:AU59 AD36:AD37 W25 M42:N42 P15 O48:O50 R51 M6 U32:W32 V51:W51 S42:U42 I20:K20 Q28:S28 R58:S59 U14:W14 H4:H5 G6:H6 I8:J8 K10:L10 M12:N12 O14:P14 Q16:R16 S18:T18 U20:V20 D7:D9 G9:G10 F11:G11 H13:I13 J15:K15 L17:M17 N19:O19 P21:Q21 R23:S23 W28 V27:W27 G33 E34:F34 F35:G35 H37:I37 J39:K39 L41:M41 N43:O43 P45:Q45 R47:S47 T49:U49 J36 L38 N40 P42 R44 T46 V48 Y50:Y51 R17 R29:T29 AA22 D13:D15 D19:D21 D37:D39 D49:D51 E51:F51 P49:P51 S30:U30 T31:V31 I22 Q18:Q19 K34 M34 L35 N35 F27 I28 E28 O58 K58 T33 P33 U4 Q4 J47 F47 I48 K48 N53 P53 T41 V41 U12 W12 F57 D55:D57 I58 G58 N51 L51 O4 M4 T7:V7 O38:Q38 Q34 U34 S34 F23 O6 Q6 T35 V35 U6 W6 K28 M30:O30 J27 L27 E52 G52 H45 D45 U52 O8:Q8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68845-5DE4-4812-8098-2AB1C95AB6FC}">
  <dimension ref="A1"/>
  <sheetViews>
    <sheetView workbookViewId="0"/>
  </sheetViews>
  <sheetFormatPr defaultRowHeight="15.7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9F064-C6D4-874B-90DF-6081E6718A80}">
  <dimension ref="A1"/>
  <sheetViews>
    <sheetView workbookViewId="0"/>
  </sheetViews>
  <sheetFormatPr defaultColWidth="11" defaultRowHeight="15.9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14F8-36B6-5049-ADC7-C6FE78AA7A2E}">
  <dimension ref="A2:C70"/>
  <sheetViews>
    <sheetView workbookViewId="0">
      <selection activeCell="C5" sqref="C5"/>
    </sheetView>
  </sheetViews>
  <sheetFormatPr defaultColWidth="11" defaultRowHeight="15.95"/>
  <sheetData>
    <row r="2" spans="1:3">
      <c r="A2" t="s">
        <v>225</v>
      </c>
    </row>
    <row r="4" spans="1:3">
      <c r="A4" s="15" t="s">
        <v>150</v>
      </c>
    </row>
    <row r="5" spans="1:3" ht="15.75">
      <c r="A5" s="16"/>
      <c r="C5" s="9"/>
    </row>
    <row r="6" spans="1:3">
      <c r="A6" s="7" t="s">
        <v>152</v>
      </c>
    </row>
    <row r="7" spans="1:3">
      <c r="A7" s="7" t="s">
        <v>153</v>
      </c>
    </row>
    <row r="8" spans="1:3">
      <c r="A8" s="7" t="s">
        <v>154</v>
      </c>
    </row>
    <row r="9" spans="1:3">
      <c r="A9" s="7" t="s">
        <v>155</v>
      </c>
    </row>
    <row r="10" spans="1:3">
      <c r="A10" s="17" t="s">
        <v>156</v>
      </c>
    </row>
    <row r="11" spans="1:3">
      <c r="A11" s="17" t="s">
        <v>157</v>
      </c>
    </row>
    <row r="12" spans="1:3">
      <c r="A12" s="7" t="s">
        <v>159</v>
      </c>
    </row>
    <row r="13" spans="1:3">
      <c r="A13" s="7" t="s">
        <v>160</v>
      </c>
    </row>
    <row r="14" spans="1:3">
      <c r="A14" s="7" t="s">
        <v>161</v>
      </c>
    </row>
    <row r="15" spans="1:3">
      <c r="A15" s="7" t="s">
        <v>162</v>
      </c>
    </row>
    <row r="16" spans="1:3">
      <c r="A16" s="7" t="s">
        <v>163</v>
      </c>
    </row>
    <row r="17" spans="1:1">
      <c r="A17" s="7" t="s">
        <v>164</v>
      </c>
    </row>
    <row r="18" spans="1:1">
      <c r="A18" s="7" t="s">
        <v>165</v>
      </c>
    </row>
    <row r="19" spans="1:1">
      <c r="A19" s="7" t="s">
        <v>166</v>
      </c>
    </row>
    <row r="20" spans="1:1">
      <c r="A20" s="7" t="s">
        <v>167</v>
      </c>
    </row>
    <row r="21" spans="1:1">
      <c r="A21" s="7" t="s">
        <v>168</v>
      </c>
    </row>
    <row r="22" spans="1:1">
      <c r="A22" s="7" t="s">
        <v>169</v>
      </c>
    </row>
    <row r="23" spans="1:1">
      <c r="A23" s="7" t="s">
        <v>170</v>
      </c>
    </row>
    <row r="24" spans="1:1">
      <c r="A24" s="16" t="s">
        <v>171</v>
      </c>
    </row>
    <row r="25" spans="1:1">
      <c r="A25" s="16" t="s">
        <v>172</v>
      </c>
    </row>
    <row r="26" spans="1:1">
      <c r="A26" s="18" t="s">
        <v>173</v>
      </c>
    </row>
    <row r="27" spans="1:1">
      <c r="A27" s="18" t="s">
        <v>174</v>
      </c>
    </row>
    <row r="28" spans="1:1">
      <c r="A28" s="18" t="s">
        <v>175</v>
      </c>
    </row>
    <row r="29" spans="1:1">
      <c r="A29" s="18" t="s">
        <v>176</v>
      </c>
    </row>
    <row r="30" spans="1:1">
      <c r="A30" s="18" t="s">
        <v>177</v>
      </c>
    </row>
    <row r="31" spans="1:1">
      <c r="A31" s="7" t="s">
        <v>178</v>
      </c>
    </row>
    <row r="32" spans="1:1">
      <c r="A32" s="7" t="s">
        <v>226</v>
      </c>
    </row>
    <row r="33" spans="1:1">
      <c r="A33" s="7"/>
    </row>
    <row r="34" spans="1:1">
      <c r="A34" s="15"/>
    </row>
    <row r="35" spans="1:1">
      <c r="A35" s="7"/>
    </row>
    <row r="36" spans="1:1">
      <c r="A36" s="15" t="s">
        <v>183</v>
      </c>
    </row>
    <row r="37" spans="1:1">
      <c r="A37" s="7"/>
    </row>
    <row r="38" spans="1:1">
      <c r="A38" s="18" t="s">
        <v>184</v>
      </c>
    </row>
    <row r="39" spans="1:1">
      <c r="A39" s="7" t="s">
        <v>185</v>
      </c>
    </row>
    <row r="40" spans="1:1">
      <c r="A40" s="7" t="s">
        <v>186</v>
      </c>
    </row>
    <row r="41" spans="1:1">
      <c r="A41" s="7" t="s">
        <v>187</v>
      </c>
    </row>
    <row r="42" spans="1:1">
      <c r="A42" s="7" t="s">
        <v>188</v>
      </c>
    </row>
    <row r="43" spans="1:1">
      <c r="A43" s="7" t="s">
        <v>189</v>
      </c>
    </row>
    <row r="44" spans="1:1">
      <c r="A44" s="7" t="s">
        <v>190</v>
      </c>
    </row>
    <row r="45" spans="1:1">
      <c r="A45" s="7" t="s">
        <v>191</v>
      </c>
    </row>
    <row r="46" spans="1:1">
      <c r="A46" s="17" t="s">
        <v>192</v>
      </c>
    </row>
    <row r="47" spans="1:1">
      <c r="A47" s="17" t="s">
        <v>193</v>
      </c>
    </row>
    <row r="48" spans="1:1">
      <c r="A48" s="7" t="s">
        <v>194</v>
      </c>
    </row>
    <row r="49" spans="1:1">
      <c r="A49" s="7" t="s">
        <v>195</v>
      </c>
    </row>
    <row r="50" spans="1:1">
      <c r="A50" s="7" t="s">
        <v>196</v>
      </c>
    </row>
    <row r="51" spans="1:1">
      <c r="A51" s="7" t="s">
        <v>197</v>
      </c>
    </row>
    <row r="52" spans="1:1">
      <c r="A52" s="7" t="s">
        <v>198</v>
      </c>
    </row>
    <row r="53" spans="1:1">
      <c r="A53" s="7" t="s">
        <v>199</v>
      </c>
    </row>
    <row r="54" spans="1:1" ht="15.75">
      <c r="A54" s="7" t="s">
        <v>200</v>
      </c>
    </row>
    <row r="55" spans="1:1" ht="15.75">
      <c r="A55" s="7" t="s">
        <v>201</v>
      </c>
    </row>
    <row r="56" spans="1:1" ht="15.75">
      <c r="A56" s="17" t="s">
        <v>202</v>
      </c>
    </row>
    <row r="57" spans="1:1" ht="15.75">
      <c r="A57" s="7" t="s">
        <v>203</v>
      </c>
    </row>
    <row r="58" spans="1:1" ht="15.75">
      <c r="A58" s="7" t="s">
        <v>204</v>
      </c>
    </row>
    <row r="59" spans="1:1" ht="15.75">
      <c r="A59" s="7" t="s">
        <v>205</v>
      </c>
    </row>
    <row r="60" spans="1:1" ht="15.75">
      <c r="A60" s="7" t="s">
        <v>206</v>
      </c>
    </row>
    <row r="61" spans="1:1" ht="15.75">
      <c r="A61" s="7" t="s">
        <v>207</v>
      </c>
    </row>
    <row r="62" spans="1:1">
      <c r="A62" s="7"/>
    </row>
    <row r="63" spans="1:1" ht="15.75"/>
    <row r="64" spans="1:1" ht="15.75"/>
    <row r="65" spans="1:1" ht="15.75"/>
    <row r="66" spans="1:1" ht="15.75"/>
    <row r="67" spans="1:1">
      <c r="A67" s="7"/>
    </row>
    <row r="68" spans="1:1" ht="15.75"/>
    <row r="69" spans="1:1">
      <c r="A69" s="7"/>
    </row>
    <row r="70" spans="1:1">
      <c r="A70" s="7"/>
    </row>
  </sheetData>
  <conditionalFormatting sqref="C4:C5 C8:C22 C24:C35">
    <cfRule type="containsText" dxfId="0" priority="1" operator="containsText" text="Clinic">
      <formula>NOT(ISERROR(SEARCH("Clinic",C4)))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1013B-9358-0A40-9330-9E7029517D13}">
  <dimension ref="A2:P53"/>
  <sheetViews>
    <sheetView workbookViewId="0">
      <selection activeCell="B29" sqref="B29"/>
    </sheetView>
  </sheetViews>
  <sheetFormatPr defaultColWidth="11" defaultRowHeight="15.95"/>
  <sheetData>
    <row r="2" spans="1:16">
      <c r="A2" t="s">
        <v>227</v>
      </c>
    </row>
    <row r="3" spans="1:16" ht="15.75">
      <c r="B3" s="22" t="s">
        <v>228</v>
      </c>
    </row>
    <row r="4" spans="1:16">
      <c r="C4" t="s">
        <v>229</v>
      </c>
      <c r="D4" t="s">
        <v>230</v>
      </c>
      <c r="E4" t="s">
        <v>231</v>
      </c>
      <c r="F4" t="s">
        <v>232</v>
      </c>
      <c r="G4" t="s">
        <v>233</v>
      </c>
      <c r="H4" t="s">
        <v>234</v>
      </c>
      <c r="I4" t="s">
        <v>235</v>
      </c>
      <c r="J4" t="s">
        <v>236</v>
      </c>
      <c r="K4" t="s">
        <v>237</v>
      </c>
      <c r="L4" t="s">
        <v>238</v>
      </c>
      <c r="N4" t="s">
        <v>239</v>
      </c>
      <c r="O4" t="s">
        <v>240</v>
      </c>
      <c r="P4" t="s">
        <v>241</v>
      </c>
    </row>
    <row r="5" spans="1:16">
      <c r="B5" t="s">
        <v>242</v>
      </c>
    </row>
    <row r="6" spans="1:16">
      <c r="B6" t="s">
        <v>243</v>
      </c>
      <c r="C6" t="s">
        <v>244</v>
      </c>
      <c r="D6" t="s">
        <v>245</v>
      </c>
      <c r="E6" t="s">
        <v>244</v>
      </c>
      <c r="F6" t="s">
        <v>245</v>
      </c>
      <c r="G6" t="s">
        <v>246</v>
      </c>
      <c r="H6" t="s">
        <v>246</v>
      </c>
      <c r="I6" t="s">
        <v>246</v>
      </c>
      <c r="J6" t="s">
        <v>246</v>
      </c>
      <c r="K6" t="s">
        <v>246</v>
      </c>
      <c r="L6" t="s">
        <v>244</v>
      </c>
      <c r="N6">
        <f>COUNTIF(C6:L6, "CSM")</f>
        <v>5</v>
      </c>
      <c r="O6">
        <f>COUNTIF(C6:L6, "VA")</f>
        <v>2</v>
      </c>
      <c r="P6">
        <f>COUNTIF(C6:L6, "Other")</f>
        <v>3</v>
      </c>
    </row>
    <row r="7" spans="1:16">
      <c r="B7" t="s">
        <v>247</v>
      </c>
      <c r="C7" t="s">
        <v>244</v>
      </c>
      <c r="D7" t="s">
        <v>245</v>
      </c>
      <c r="E7" t="s">
        <v>244</v>
      </c>
      <c r="F7" t="s">
        <v>245</v>
      </c>
      <c r="G7" t="s">
        <v>246</v>
      </c>
      <c r="H7" t="s">
        <v>246</v>
      </c>
      <c r="I7" t="s">
        <v>246</v>
      </c>
      <c r="J7" t="s">
        <v>246</v>
      </c>
      <c r="K7" t="s">
        <v>246</v>
      </c>
      <c r="L7" t="s">
        <v>244</v>
      </c>
      <c r="N7">
        <f>COUNTIF(C7:L7, "CSM")</f>
        <v>5</v>
      </c>
      <c r="O7">
        <f>COUNTIF(C7:L7, "VA")</f>
        <v>2</v>
      </c>
      <c r="P7">
        <f>COUNTIF(C7:L7, "Other")</f>
        <v>3</v>
      </c>
    </row>
    <row r="8" spans="1:16">
      <c r="B8" t="s">
        <v>248</v>
      </c>
      <c r="C8" t="s">
        <v>244</v>
      </c>
      <c r="D8" t="s">
        <v>245</v>
      </c>
      <c r="E8" t="s">
        <v>244</v>
      </c>
      <c r="F8" t="s">
        <v>245</v>
      </c>
      <c r="G8" t="s">
        <v>246</v>
      </c>
      <c r="H8" t="s">
        <v>246</v>
      </c>
      <c r="I8" t="s">
        <v>246</v>
      </c>
      <c r="J8" t="s">
        <v>246</v>
      </c>
      <c r="K8" t="s">
        <v>246</v>
      </c>
      <c r="L8" t="s">
        <v>244</v>
      </c>
      <c r="N8">
        <f>COUNTIF(C8:L8, "CSM")</f>
        <v>5</v>
      </c>
      <c r="O8">
        <f>COUNTIF(C8:L8, "VA")</f>
        <v>2</v>
      </c>
      <c r="P8">
        <f>COUNTIF(C8:L8, "Other")</f>
        <v>3</v>
      </c>
    </row>
    <row r="9" spans="1:16">
      <c r="B9" t="s">
        <v>249</v>
      </c>
      <c r="C9" t="s">
        <v>244</v>
      </c>
      <c r="D9" t="s">
        <v>245</v>
      </c>
      <c r="E9" t="s">
        <v>244</v>
      </c>
      <c r="F9" t="s">
        <v>245</v>
      </c>
      <c r="G9" t="s">
        <v>246</v>
      </c>
      <c r="H9" t="s">
        <v>246</v>
      </c>
      <c r="I9" t="s">
        <v>246</v>
      </c>
      <c r="J9" t="s">
        <v>246</v>
      </c>
      <c r="K9" t="s">
        <v>246</v>
      </c>
      <c r="L9" t="s">
        <v>244</v>
      </c>
      <c r="N9">
        <f>COUNTIF(C9:L9, "CSM")</f>
        <v>5</v>
      </c>
      <c r="O9">
        <f>COUNTIF(C9:L9, "VA")</f>
        <v>2</v>
      </c>
      <c r="P9">
        <f>COUNTIF(C9:L9, "Other")</f>
        <v>3</v>
      </c>
    </row>
    <row r="10" spans="1:16">
      <c r="B10" t="s">
        <v>250</v>
      </c>
      <c r="C10" t="s">
        <v>244</v>
      </c>
      <c r="D10" t="s">
        <v>246</v>
      </c>
      <c r="E10" t="s">
        <v>244</v>
      </c>
      <c r="F10" t="s">
        <v>245</v>
      </c>
      <c r="G10" t="s">
        <v>246</v>
      </c>
      <c r="H10" t="s">
        <v>245</v>
      </c>
      <c r="I10" t="s">
        <v>246</v>
      </c>
      <c r="J10" t="s">
        <v>246</v>
      </c>
      <c r="K10" t="s">
        <v>246</v>
      </c>
      <c r="L10" t="s">
        <v>244</v>
      </c>
      <c r="N10">
        <f>COUNTIF(C10:L10, "CSM")</f>
        <v>5</v>
      </c>
      <c r="O10">
        <f>COUNTIF(C10:L10, "VA")</f>
        <v>2</v>
      </c>
      <c r="P10">
        <f>COUNTIF(C10:L10, "Other")</f>
        <v>3</v>
      </c>
    </row>
    <row r="11" spans="1:16">
      <c r="B11" t="s">
        <v>251</v>
      </c>
      <c r="C11" t="s">
        <v>244</v>
      </c>
      <c r="D11" t="s">
        <v>246</v>
      </c>
      <c r="E11" t="s">
        <v>244</v>
      </c>
      <c r="F11" t="s">
        <v>245</v>
      </c>
      <c r="G11" t="s">
        <v>246</v>
      </c>
      <c r="H11" t="s">
        <v>245</v>
      </c>
      <c r="I11" t="s">
        <v>246</v>
      </c>
      <c r="J11" t="s">
        <v>246</v>
      </c>
      <c r="K11" t="s">
        <v>246</v>
      </c>
      <c r="L11" t="s">
        <v>244</v>
      </c>
      <c r="N11">
        <f>COUNTIF(C11:L11, "CSM")</f>
        <v>5</v>
      </c>
      <c r="O11">
        <f>COUNTIF(C11:L11, "VA")</f>
        <v>2</v>
      </c>
      <c r="P11">
        <f>COUNTIF(C11:L11, "Other")</f>
        <v>3</v>
      </c>
    </row>
    <row r="12" spans="1:16">
      <c r="B12" t="s">
        <v>252</v>
      </c>
      <c r="C12" t="s">
        <v>244</v>
      </c>
      <c r="D12" t="s">
        <v>246</v>
      </c>
      <c r="E12" t="s">
        <v>244</v>
      </c>
      <c r="F12" t="s">
        <v>245</v>
      </c>
      <c r="G12" t="s">
        <v>246</v>
      </c>
      <c r="H12" t="s">
        <v>245</v>
      </c>
      <c r="I12" t="s">
        <v>246</v>
      </c>
      <c r="J12" t="s">
        <v>246</v>
      </c>
      <c r="K12" t="s">
        <v>246</v>
      </c>
      <c r="L12" t="s">
        <v>244</v>
      </c>
      <c r="N12">
        <f>COUNTIF(C12:L12, "CSM")</f>
        <v>5</v>
      </c>
      <c r="O12">
        <f>COUNTIF(C12:L12, "VA")</f>
        <v>2</v>
      </c>
      <c r="P12">
        <f>COUNTIF(C12:L12, "Other")</f>
        <v>3</v>
      </c>
    </row>
    <row r="13" spans="1:16">
      <c r="B13" t="s">
        <v>253</v>
      </c>
      <c r="C13" t="s">
        <v>244</v>
      </c>
      <c r="D13" t="s">
        <v>246</v>
      </c>
      <c r="E13" t="s">
        <v>246</v>
      </c>
      <c r="F13" t="s">
        <v>245</v>
      </c>
      <c r="G13" t="s">
        <v>246</v>
      </c>
      <c r="H13" t="s">
        <v>245</v>
      </c>
      <c r="I13" t="s">
        <v>244</v>
      </c>
      <c r="J13" t="s">
        <v>246</v>
      </c>
      <c r="K13" t="s">
        <v>246</v>
      </c>
      <c r="L13" t="s">
        <v>244</v>
      </c>
      <c r="N13">
        <f>COUNTIF(C13:L13, "CSM")</f>
        <v>5</v>
      </c>
      <c r="O13">
        <f>COUNTIF(C13:L13, "VA")</f>
        <v>2</v>
      </c>
      <c r="P13">
        <f>COUNTIF(C13:L13, "Other")</f>
        <v>3</v>
      </c>
    </row>
    <row r="14" spans="1:16">
      <c r="B14" t="s">
        <v>254</v>
      </c>
      <c r="C14" t="s">
        <v>244</v>
      </c>
      <c r="D14" t="s">
        <v>246</v>
      </c>
      <c r="E14" t="s">
        <v>246</v>
      </c>
      <c r="F14" t="s">
        <v>246</v>
      </c>
      <c r="G14" t="s">
        <v>246</v>
      </c>
      <c r="H14" t="s">
        <v>245</v>
      </c>
      <c r="I14" t="s">
        <v>244</v>
      </c>
      <c r="J14" t="s">
        <v>245</v>
      </c>
      <c r="K14" t="s">
        <v>246</v>
      </c>
      <c r="L14" t="s">
        <v>244</v>
      </c>
      <c r="N14">
        <f>COUNTIF(C14:L14, "CSM")</f>
        <v>5</v>
      </c>
      <c r="O14">
        <f>COUNTIF(C14:L14, "VA")</f>
        <v>2</v>
      </c>
      <c r="P14">
        <f>COUNTIF(C14:L14, "Other")</f>
        <v>3</v>
      </c>
    </row>
    <row r="15" spans="1:16">
      <c r="B15" t="s">
        <v>255</v>
      </c>
      <c r="C15" t="s">
        <v>244</v>
      </c>
      <c r="D15" t="s">
        <v>246</v>
      </c>
      <c r="E15" t="s">
        <v>246</v>
      </c>
      <c r="F15" t="s">
        <v>246</v>
      </c>
      <c r="G15" t="s">
        <v>246</v>
      </c>
      <c r="H15" t="s">
        <v>245</v>
      </c>
      <c r="I15" t="s">
        <v>244</v>
      </c>
      <c r="J15" t="s">
        <v>245</v>
      </c>
      <c r="K15" t="s">
        <v>246</v>
      </c>
      <c r="L15" t="s">
        <v>244</v>
      </c>
      <c r="N15">
        <f>COUNTIF(C15:L15, "CSM")</f>
        <v>5</v>
      </c>
      <c r="O15">
        <f>COUNTIF(C15:L15, "VA")</f>
        <v>2</v>
      </c>
      <c r="P15">
        <f>COUNTIF(C15:L15, "Other")</f>
        <v>3</v>
      </c>
    </row>
    <row r="16" spans="1:16">
      <c r="B16" t="s">
        <v>256</v>
      </c>
      <c r="C16" t="s">
        <v>244</v>
      </c>
      <c r="D16" t="s">
        <v>246</v>
      </c>
      <c r="E16" t="s">
        <v>246</v>
      </c>
      <c r="F16" t="s">
        <v>246</v>
      </c>
      <c r="G16" t="s">
        <v>246</v>
      </c>
      <c r="H16" t="s">
        <v>245</v>
      </c>
      <c r="I16" t="s">
        <v>244</v>
      </c>
      <c r="J16" t="s">
        <v>245</v>
      </c>
      <c r="K16" t="s">
        <v>246</v>
      </c>
      <c r="L16" t="s">
        <v>244</v>
      </c>
      <c r="N16">
        <f>COUNTIF(C16:L16, "CSM")</f>
        <v>5</v>
      </c>
      <c r="O16">
        <f>COUNTIF(C16:L16, "VA")</f>
        <v>2</v>
      </c>
      <c r="P16">
        <f>COUNTIF(C16:L16, "Other")</f>
        <v>3</v>
      </c>
    </row>
    <row r="17" spans="2:16">
      <c r="B17" t="s">
        <v>257</v>
      </c>
      <c r="C17" t="s">
        <v>244</v>
      </c>
      <c r="D17" t="s">
        <v>246</v>
      </c>
      <c r="E17" t="s">
        <v>246</v>
      </c>
      <c r="F17" t="s">
        <v>246</v>
      </c>
      <c r="G17" t="s">
        <v>246</v>
      </c>
      <c r="H17" t="s">
        <v>245</v>
      </c>
      <c r="I17" t="s">
        <v>246</v>
      </c>
      <c r="J17" t="s">
        <v>245</v>
      </c>
      <c r="K17" t="s">
        <v>244</v>
      </c>
      <c r="L17" t="s">
        <v>244</v>
      </c>
      <c r="N17">
        <f>COUNTIF(C17:L17, "CSM")</f>
        <v>5</v>
      </c>
      <c r="O17">
        <f>COUNTIF(C17:L17, "VA")</f>
        <v>2</v>
      </c>
      <c r="P17">
        <f>COUNTIF(C17:L17, "Other")</f>
        <v>3</v>
      </c>
    </row>
    <row r="18" spans="2:16">
      <c r="B18" t="s">
        <v>258</v>
      </c>
      <c r="C18" t="s">
        <v>244</v>
      </c>
      <c r="D18" t="s">
        <v>246</v>
      </c>
      <c r="E18" t="s">
        <v>246</v>
      </c>
      <c r="F18" t="s">
        <v>246</v>
      </c>
      <c r="G18" t="s">
        <v>246</v>
      </c>
      <c r="H18" t="s">
        <v>244</v>
      </c>
      <c r="I18" t="s">
        <v>246</v>
      </c>
      <c r="J18" t="s">
        <v>245</v>
      </c>
      <c r="K18" t="s">
        <v>244</v>
      </c>
      <c r="L18" t="s">
        <v>245</v>
      </c>
      <c r="N18">
        <f>COUNTIF(C18:L18, "CSM")</f>
        <v>5</v>
      </c>
      <c r="O18">
        <f>COUNTIF(C18:L18, "VA")</f>
        <v>2</v>
      </c>
      <c r="P18">
        <f>COUNTIF(C18:L18, "Other")</f>
        <v>3</v>
      </c>
    </row>
    <row r="19" spans="2:16">
      <c r="B19" t="s">
        <v>259</v>
      </c>
      <c r="C19" t="s">
        <v>244</v>
      </c>
      <c r="D19" t="s">
        <v>246</v>
      </c>
      <c r="E19" t="s">
        <v>246</v>
      </c>
      <c r="F19" t="s">
        <v>246</v>
      </c>
      <c r="G19" t="s">
        <v>246</v>
      </c>
      <c r="H19" t="s">
        <v>244</v>
      </c>
      <c r="I19" t="s">
        <v>246</v>
      </c>
      <c r="J19" t="s">
        <v>245</v>
      </c>
      <c r="K19" t="s">
        <v>244</v>
      </c>
      <c r="L19" t="s">
        <v>245</v>
      </c>
      <c r="N19">
        <f>COUNTIF(C19:L19, "CSM")</f>
        <v>5</v>
      </c>
      <c r="O19">
        <f>COUNTIF(C19:L19, "VA")</f>
        <v>2</v>
      </c>
      <c r="P19">
        <f>COUNTIF(C19:L19, "Other")</f>
        <v>3</v>
      </c>
    </row>
    <row r="20" spans="2:16">
      <c r="B20" t="s">
        <v>260</v>
      </c>
      <c r="C20" t="s">
        <v>244</v>
      </c>
      <c r="D20" t="s">
        <v>246</v>
      </c>
      <c r="E20" t="s">
        <v>246</v>
      </c>
      <c r="F20" t="s">
        <v>246</v>
      </c>
      <c r="G20" t="s">
        <v>244</v>
      </c>
      <c r="H20" t="s">
        <v>244</v>
      </c>
      <c r="I20" t="s">
        <v>246</v>
      </c>
      <c r="J20" t="s">
        <v>245</v>
      </c>
      <c r="K20" t="s">
        <v>246</v>
      </c>
      <c r="L20" t="s">
        <v>245</v>
      </c>
      <c r="N20">
        <f>COUNTIF(C20:L20, "CSM")</f>
        <v>5</v>
      </c>
      <c r="O20">
        <f>COUNTIF(C20:L20, "VA")</f>
        <v>2</v>
      </c>
      <c r="P20">
        <f>COUNTIF(C20:L20, "Other")</f>
        <v>3</v>
      </c>
    </row>
    <row r="23" spans="2:16">
      <c r="B23" t="s">
        <v>261</v>
      </c>
    </row>
    <row r="24" spans="2:16">
      <c r="B24" t="s">
        <v>246</v>
      </c>
      <c r="C24">
        <f>COUNTIF(C6:C20, "CSM")</f>
        <v>0</v>
      </c>
      <c r="D24">
        <f t="shared" ref="D24:L24" si="0">COUNTIF(D6:D20, "CSM")</f>
        <v>11</v>
      </c>
      <c r="E24">
        <f t="shared" si="0"/>
        <v>8</v>
      </c>
      <c r="F24">
        <f t="shared" si="0"/>
        <v>7</v>
      </c>
      <c r="G24">
        <f>COUNTIF(C6:C20, "CSM")</f>
        <v>0</v>
      </c>
      <c r="H24">
        <f t="shared" si="0"/>
        <v>4</v>
      </c>
      <c r="I24">
        <f t="shared" si="0"/>
        <v>11</v>
      </c>
      <c r="J24">
        <f t="shared" si="0"/>
        <v>8</v>
      </c>
      <c r="K24">
        <f t="shared" si="0"/>
        <v>12</v>
      </c>
      <c r="L24">
        <f t="shared" si="0"/>
        <v>0</v>
      </c>
    </row>
    <row r="25" spans="2:16">
      <c r="B25" t="s">
        <v>245</v>
      </c>
      <c r="C25">
        <f xml:space="preserve"> COUNTIF(C6:C20, "VA")</f>
        <v>0</v>
      </c>
      <c r="D25">
        <f t="shared" ref="D25:L25" si="1" xml:space="preserve"> COUNTIF(D6:D20, "VA")</f>
        <v>4</v>
      </c>
      <c r="E25">
        <f t="shared" si="1"/>
        <v>0</v>
      </c>
      <c r="F25">
        <f t="shared" si="1"/>
        <v>8</v>
      </c>
      <c r="G25">
        <f xml:space="preserve"> COUNTIF(C6:C20, "VA")</f>
        <v>0</v>
      </c>
      <c r="H25">
        <f t="shared" si="1"/>
        <v>8</v>
      </c>
      <c r="I25">
        <f t="shared" si="1"/>
        <v>0</v>
      </c>
      <c r="J25">
        <f t="shared" si="1"/>
        <v>7</v>
      </c>
      <c r="K25">
        <f t="shared" si="1"/>
        <v>0</v>
      </c>
      <c r="L25">
        <f t="shared" si="1"/>
        <v>3</v>
      </c>
    </row>
    <row r="26" spans="2:16">
      <c r="B26" t="s">
        <v>244</v>
      </c>
      <c r="C26">
        <f>COUNTIF(C6:C20, "Other")</f>
        <v>15</v>
      </c>
      <c r="D26">
        <f t="shared" ref="D26:L26" si="2">COUNTIF(D6:D20, "Other")</f>
        <v>0</v>
      </c>
      <c r="E26">
        <f t="shared" si="2"/>
        <v>7</v>
      </c>
      <c r="F26">
        <f t="shared" si="2"/>
        <v>0</v>
      </c>
      <c r="G26">
        <f>COUNTIF(C6:C20, "Other")</f>
        <v>15</v>
      </c>
      <c r="H26">
        <f t="shared" si="2"/>
        <v>3</v>
      </c>
      <c r="I26">
        <f t="shared" si="2"/>
        <v>4</v>
      </c>
      <c r="J26">
        <f t="shared" si="2"/>
        <v>0</v>
      </c>
      <c r="K26">
        <f t="shared" si="2"/>
        <v>3</v>
      </c>
      <c r="L26">
        <f t="shared" si="2"/>
        <v>12</v>
      </c>
    </row>
    <row r="28" spans="2:16" ht="15.75">
      <c r="B28" s="22" t="s">
        <v>262</v>
      </c>
    </row>
    <row r="29" spans="2:16" ht="15.75">
      <c r="C29" t="s">
        <v>229</v>
      </c>
      <c r="D29" t="s">
        <v>230</v>
      </c>
      <c r="E29" t="s">
        <v>231</v>
      </c>
      <c r="F29" t="s">
        <v>232</v>
      </c>
      <c r="G29" t="s">
        <v>233</v>
      </c>
      <c r="H29" t="s">
        <v>234</v>
      </c>
      <c r="I29" t="s">
        <v>235</v>
      </c>
      <c r="J29" t="s">
        <v>236</v>
      </c>
      <c r="K29" t="s">
        <v>237</v>
      </c>
      <c r="L29" t="s">
        <v>238</v>
      </c>
      <c r="N29" t="s">
        <v>239</v>
      </c>
      <c r="O29" t="s">
        <v>240</v>
      </c>
      <c r="P29" t="s">
        <v>241</v>
      </c>
    </row>
    <row r="30" spans="2:16">
      <c r="B30" t="s">
        <v>242</v>
      </c>
    </row>
    <row r="31" spans="2:16" ht="15.75">
      <c r="B31" t="s">
        <v>243</v>
      </c>
      <c r="C31" t="s">
        <v>244</v>
      </c>
      <c r="D31" t="s">
        <v>245</v>
      </c>
      <c r="E31" t="s">
        <v>246</v>
      </c>
      <c r="F31" t="s">
        <v>246</v>
      </c>
      <c r="G31" t="s">
        <v>244</v>
      </c>
      <c r="H31" t="s">
        <v>246</v>
      </c>
      <c r="I31" s="24" t="s">
        <v>246</v>
      </c>
      <c r="J31" t="s">
        <v>245</v>
      </c>
      <c r="K31" t="s">
        <v>246</v>
      </c>
      <c r="L31" t="s">
        <v>244</v>
      </c>
      <c r="N31">
        <f>COUNTIF(C31:L31, "CSM")</f>
        <v>5</v>
      </c>
      <c r="O31">
        <f>COUNTIF(C31:L31, "VA")</f>
        <v>2</v>
      </c>
      <c r="P31">
        <f>COUNTIF(C31:L31, "Other")</f>
        <v>3</v>
      </c>
    </row>
    <row r="32" spans="2:16" ht="15.75">
      <c r="B32" t="s">
        <v>247</v>
      </c>
      <c r="C32" t="s">
        <v>244</v>
      </c>
      <c r="D32" t="s">
        <v>245</v>
      </c>
      <c r="E32" t="s">
        <v>246</v>
      </c>
      <c r="F32" t="s">
        <v>246</v>
      </c>
      <c r="G32" t="s">
        <v>244</v>
      </c>
      <c r="H32" t="s">
        <v>246</v>
      </c>
      <c r="I32" s="24" t="s">
        <v>246</v>
      </c>
      <c r="J32" t="s">
        <v>245</v>
      </c>
      <c r="K32" t="s">
        <v>246</v>
      </c>
      <c r="L32" t="s">
        <v>244</v>
      </c>
      <c r="N32">
        <f>COUNTIF(C32:L32, "CSM")</f>
        <v>5</v>
      </c>
      <c r="O32">
        <f>COUNTIF(C32:L32, "VA")</f>
        <v>2</v>
      </c>
      <c r="P32">
        <f>COUNTIF(C32:L32, "Other")</f>
        <v>3</v>
      </c>
    </row>
    <row r="33" spans="2:16" ht="15.75">
      <c r="B33" t="s">
        <v>248</v>
      </c>
      <c r="C33" t="s">
        <v>244</v>
      </c>
      <c r="D33" t="s">
        <v>245</v>
      </c>
      <c r="E33" t="s">
        <v>246</v>
      </c>
      <c r="F33" t="s">
        <v>246</v>
      </c>
      <c r="G33" t="s">
        <v>244</v>
      </c>
      <c r="H33" t="s">
        <v>246</v>
      </c>
      <c r="I33" s="24" t="s">
        <v>246</v>
      </c>
      <c r="J33" t="s">
        <v>245</v>
      </c>
      <c r="K33" t="s">
        <v>246</v>
      </c>
      <c r="L33" t="s">
        <v>244</v>
      </c>
      <c r="N33">
        <f>COUNTIF(C33:L33, "CSM")</f>
        <v>5</v>
      </c>
      <c r="O33">
        <f>COUNTIF(C33:L33, "VA")</f>
        <v>2</v>
      </c>
      <c r="P33">
        <f>COUNTIF(C33:L33, "Other")</f>
        <v>3</v>
      </c>
    </row>
    <row r="34" spans="2:16" ht="15.75">
      <c r="B34" t="s">
        <v>249</v>
      </c>
      <c r="C34" t="s">
        <v>244</v>
      </c>
      <c r="D34" t="s">
        <v>245</v>
      </c>
      <c r="E34" t="s">
        <v>246</v>
      </c>
      <c r="F34" t="s">
        <v>246</v>
      </c>
      <c r="G34" t="s">
        <v>246</v>
      </c>
      <c r="H34" t="s">
        <v>246</v>
      </c>
      <c r="I34" s="24" t="s">
        <v>246</v>
      </c>
      <c r="J34" t="s">
        <v>245</v>
      </c>
      <c r="K34" t="s">
        <v>244</v>
      </c>
      <c r="L34" t="s">
        <v>244</v>
      </c>
      <c r="N34">
        <f>COUNTIF(C34:L34, "CSM")</f>
        <v>5</v>
      </c>
      <c r="O34">
        <f>COUNTIF(C34:L34, "VA")</f>
        <v>2</v>
      </c>
      <c r="P34">
        <f>COUNTIF(C34:L34, "Other")</f>
        <v>3</v>
      </c>
    </row>
    <row r="35" spans="2:16" ht="15.75">
      <c r="B35" t="s">
        <v>250</v>
      </c>
      <c r="C35" t="s">
        <v>244</v>
      </c>
      <c r="D35" t="s">
        <v>245</v>
      </c>
      <c r="E35" t="s">
        <v>246</v>
      </c>
      <c r="F35" t="s">
        <v>245</v>
      </c>
      <c r="G35" t="s">
        <v>244</v>
      </c>
      <c r="H35" t="s">
        <v>246</v>
      </c>
      <c r="I35" t="s">
        <v>246</v>
      </c>
      <c r="J35" t="s">
        <v>246</v>
      </c>
      <c r="K35" s="24" t="s">
        <v>246</v>
      </c>
      <c r="L35" t="s">
        <v>244</v>
      </c>
      <c r="N35">
        <f>COUNTIF(C35:L35, "CSM")</f>
        <v>5</v>
      </c>
      <c r="O35">
        <f>COUNTIF(C35:L35, "VA")</f>
        <v>2</v>
      </c>
      <c r="P35">
        <f>COUNTIF(C35:L35, "Other")</f>
        <v>3</v>
      </c>
    </row>
    <row r="36" spans="2:16" ht="15.75">
      <c r="B36" t="s">
        <v>251</v>
      </c>
      <c r="C36" t="s">
        <v>244</v>
      </c>
      <c r="D36" t="s">
        <v>245</v>
      </c>
      <c r="E36" t="s">
        <v>246</v>
      </c>
      <c r="F36" t="s">
        <v>245</v>
      </c>
      <c r="G36" t="s">
        <v>244</v>
      </c>
      <c r="H36" t="s">
        <v>246</v>
      </c>
      <c r="I36" t="s">
        <v>246</v>
      </c>
      <c r="J36" t="s">
        <v>246</v>
      </c>
      <c r="K36" s="24" t="s">
        <v>246</v>
      </c>
      <c r="L36" t="s">
        <v>244</v>
      </c>
      <c r="N36">
        <f>COUNTIF(C36:L36, "CSM")</f>
        <v>5</v>
      </c>
      <c r="O36">
        <f>COUNTIF(C36:L36, "VA")</f>
        <v>2</v>
      </c>
      <c r="P36">
        <f>COUNTIF(C36:L36, "Other")</f>
        <v>3</v>
      </c>
    </row>
    <row r="37" spans="2:16" ht="15.75">
      <c r="B37" t="s">
        <v>252</v>
      </c>
      <c r="C37" t="s">
        <v>244</v>
      </c>
      <c r="D37" t="s">
        <v>245</v>
      </c>
      <c r="E37" t="s">
        <v>246</v>
      </c>
      <c r="F37" t="s">
        <v>245</v>
      </c>
      <c r="G37" t="s">
        <v>244</v>
      </c>
      <c r="H37" t="s">
        <v>246</v>
      </c>
      <c r="I37" t="s">
        <v>246</v>
      </c>
      <c r="J37" t="s">
        <v>246</v>
      </c>
      <c r="K37" s="24" t="s">
        <v>246</v>
      </c>
      <c r="L37" t="s">
        <v>244</v>
      </c>
      <c r="N37">
        <f>COUNTIF(C37:L37, "CSM")</f>
        <v>5</v>
      </c>
      <c r="O37">
        <f>COUNTIF(C37:L37, "VA")</f>
        <v>2</v>
      </c>
      <c r="P37">
        <f>COUNTIF(C37:L37, "Other")</f>
        <v>3</v>
      </c>
    </row>
    <row r="38" spans="2:16" ht="15.75">
      <c r="B38" t="s">
        <v>253</v>
      </c>
      <c r="C38" t="s">
        <v>244</v>
      </c>
      <c r="D38" t="s">
        <v>245</v>
      </c>
      <c r="E38" t="s">
        <v>246</v>
      </c>
      <c r="F38" t="s">
        <v>245</v>
      </c>
      <c r="G38" s="24" t="s">
        <v>246</v>
      </c>
      <c r="H38" t="s">
        <v>246</v>
      </c>
      <c r="I38" t="s">
        <v>244</v>
      </c>
      <c r="J38" t="s">
        <v>246</v>
      </c>
      <c r="K38" t="s">
        <v>246</v>
      </c>
      <c r="L38" t="s">
        <v>244</v>
      </c>
      <c r="N38">
        <f>COUNTIF(C38:L38, "CSM")</f>
        <v>5</v>
      </c>
      <c r="O38">
        <f>COUNTIF(C38:L38, "VA")</f>
        <v>2</v>
      </c>
      <c r="P38">
        <f>COUNTIF(C38:L38, "Other")</f>
        <v>3</v>
      </c>
    </row>
    <row r="39" spans="2:16" ht="15.75">
      <c r="B39" t="s">
        <v>254</v>
      </c>
      <c r="C39" t="s">
        <v>244</v>
      </c>
      <c r="D39" t="s">
        <v>246</v>
      </c>
      <c r="E39" t="s">
        <v>244</v>
      </c>
      <c r="F39" t="s">
        <v>245</v>
      </c>
      <c r="G39" s="24" t="s">
        <v>246</v>
      </c>
      <c r="H39" t="s">
        <v>245</v>
      </c>
      <c r="I39" t="s">
        <v>246</v>
      </c>
      <c r="J39" t="s">
        <v>246</v>
      </c>
      <c r="K39" t="s">
        <v>246</v>
      </c>
      <c r="L39" t="s">
        <v>244</v>
      </c>
      <c r="N39">
        <f>COUNTIF(C39:L39, "CSM")</f>
        <v>5</v>
      </c>
      <c r="O39">
        <f>COUNTIF(C39:L39, "VA")</f>
        <v>2</v>
      </c>
      <c r="P39">
        <f>COUNTIF(C39:L39, "Other")</f>
        <v>3</v>
      </c>
    </row>
    <row r="40" spans="2:16" ht="15.75">
      <c r="B40" t="s">
        <v>255</v>
      </c>
      <c r="C40" t="s">
        <v>244</v>
      </c>
      <c r="D40" t="s">
        <v>246</v>
      </c>
      <c r="E40" t="s">
        <v>244</v>
      </c>
      <c r="F40" t="s">
        <v>245</v>
      </c>
      <c r="G40" s="24" t="s">
        <v>246</v>
      </c>
      <c r="H40" t="s">
        <v>245</v>
      </c>
      <c r="I40" t="s">
        <v>246</v>
      </c>
      <c r="J40" t="s">
        <v>246</v>
      </c>
      <c r="K40" t="s">
        <v>246</v>
      </c>
      <c r="L40" t="s">
        <v>244</v>
      </c>
      <c r="N40">
        <f>COUNTIF(C40:L40, "CSM")</f>
        <v>5</v>
      </c>
      <c r="O40">
        <f>COUNTIF(C40:L40, "VA")</f>
        <v>2</v>
      </c>
      <c r="P40">
        <f>COUNTIF(C40:L40, "Other")</f>
        <v>3</v>
      </c>
    </row>
    <row r="41" spans="2:16" ht="15.75">
      <c r="B41" t="s">
        <v>256</v>
      </c>
      <c r="C41" t="s">
        <v>244</v>
      </c>
      <c r="D41" t="s">
        <v>246</v>
      </c>
      <c r="E41" t="s">
        <v>244</v>
      </c>
      <c r="F41" t="s">
        <v>245</v>
      </c>
      <c r="G41" s="24" t="s">
        <v>246</v>
      </c>
      <c r="H41" t="s">
        <v>245</v>
      </c>
      <c r="I41" t="s">
        <v>246</v>
      </c>
      <c r="J41" t="s">
        <v>246</v>
      </c>
      <c r="K41" t="s">
        <v>246</v>
      </c>
      <c r="L41" t="s">
        <v>244</v>
      </c>
      <c r="N41">
        <f>COUNTIF(C41:L41, "CSM")</f>
        <v>5</v>
      </c>
      <c r="O41">
        <f>COUNTIF(C41:L41, "VA")</f>
        <v>2</v>
      </c>
      <c r="P41">
        <f>COUNTIF(C41:L41, "Other")</f>
        <v>3</v>
      </c>
    </row>
    <row r="42" spans="2:16" ht="15.75">
      <c r="B42" t="s">
        <v>257</v>
      </c>
      <c r="C42" t="s">
        <v>244</v>
      </c>
      <c r="D42" t="s">
        <v>246</v>
      </c>
      <c r="E42" s="24" t="s">
        <v>246</v>
      </c>
      <c r="F42" t="s">
        <v>245</v>
      </c>
      <c r="G42" t="s">
        <v>246</v>
      </c>
      <c r="H42" t="s">
        <v>245</v>
      </c>
      <c r="I42" t="s">
        <v>244</v>
      </c>
      <c r="J42" t="s">
        <v>246</v>
      </c>
      <c r="K42" t="s">
        <v>246</v>
      </c>
      <c r="L42" t="s">
        <v>244</v>
      </c>
      <c r="N42">
        <f>COUNTIF(C42:L42, "CSM")</f>
        <v>5</v>
      </c>
      <c r="O42">
        <f>COUNTIF(C42:L42, "VA")</f>
        <v>2</v>
      </c>
      <c r="P42">
        <f>COUNTIF(C42:L42, "Other")</f>
        <v>3</v>
      </c>
    </row>
    <row r="43" spans="2:16" ht="15.75">
      <c r="B43" t="s">
        <v>258</v>
      </c>
      <c r="C43" t="s">
        <v>244</v>
      </c>
      <c r="D43" t="s">
        <v>246</v>
      </c>
      <c r="E43" s="24" t="s">
        <v>246</v>
      </c>
      <c r="F43" t="s">
        <v>246</v>
      </c>
      <c r="G43" t="s">
        <v>246</v>
      </c>
      <c r="H43" t="s">
        <v>245</v>
      </c>
      <c r="I43" t="s">
        <v>246</v>
      </c>
      <c r="J43" t="s">
        <v>245</v>
      </c>
      <c r="K43" t="s">
        <v>244</v>
      </c>
      <c r="L43" t="s">
        <v>244</v>
      </c>
      <c r="N43">
        <f>COUNTIF(C43:L43, "CSM")</f>
        <v>5</v>
      </c>
      <c r="O43">
        <f>COUNTIF(C43:L43, "VA")</f>
        <v>2</v>
      </c>
      <c r="P43">
        <f>COUNTIF(C43:L43, "Other")</f>
        <v>3</v>
      </c>
    </row>
    <row r="44" spans="2:16" ht="15.75">
      <c r="B44" t="s">
        <v>259</v>
      </c>
      <c r="C44" t="s">
        <v>244</v>
      </c>
      <c r="D44" t="s">
        <v>246</v>
      </c>
      <c r="E44" s="24" t="s">
        <v>246</v>
      </c>
      <c r="F44" t="s">
        <v>246</v>
      </c>
      <c r="G44" t="s">
        <v>246</v>
      </c>
      <c r="H44" t="s">
        <v>245</v>
      </c>
      <c r="I44" t="s">
        <v>246</v>
      </c>
      <c r="J44" t="s">
        <v>245</v>
      </c>
      <c r="K44" t="s">
        <v>244</v>
      </c>
      <c r="L44" t="s">
        <v>244</v>
      </c>
      <c r="N44">
        <f>COUNTIF(C44:L44, "CSM")</f>
        <v>5</v>
      </c>
      <c r="O44">
        <f>COUNTIF(C44:L44, "VA")</f>
        <v>2</v>
      </c>
      <c r="P44">
        <f>COUNTIF(C44:L44, "Other")</f>
        <v>3</v>
      </c>
    </row>
    <row r="45" spans="2:16" ht="15.75">
      <c r="B45" t="s">
        <v>260</v>
      </c>
      <c r="C45" t="s">
        <v>244</v>
      </c>
      <c r="D45" t="s">
        <v>246</v>
      </c>
      <c r="E45" s="24" t="s">
        <v>246</v>
      </c>
      <c r="F45" t="s">
        <v>246</v>
      </c>
      <c r="G45" t="s">
        <v>246</v>
      </c>
      <c r="H45" t="s">
        <v>245</v>
      </c>
      <c r="I45" t="s">
        <v>246</v>
      </c>
      <c r="J45" t="s">
        <v>245</v>
      </c>
      <c r="K45" t="s">
        <v>244</v>
      </c>
      <c r="L45" t="s">
        <v>244</v>
      </c>
      <c r="N45">
        <f>COUNTIF(C45:L45, "CSM")</f>
        <v>5</v>
      </c>
      <c r="O45">
        <f>COUNTIF(C45:L45, "VA")</f>
        <v>2</v>
      </c>
      <c r="P45">
        <f>COUNTIF(C45:L45, "Other")</f>
        <v>3</v>
      </c>
    </row>
    <row r="48" spans="2:16">
      <c r="B48" t="s">
        <v>261</v>
      </c>
    </row>
    <row r="49" spans="2:12">
      <c r="B49" t="s">
        <v>246</v>
      </c>
      <c r="C49">
        <f t="shared" ref="C49" si="3">COUNTIF(C31:C45, "CSM")</f>
        <v>0</v>
      </c>
      <c r="D49">
        <f t="shared" ref="D49:F49" si="4">COUNTIF(D31:D45, "CSM")</f>
        <v>7</v>
      </c>
      <c r="E49">
        <f t="shared" si="4"/>
        <v>12</v>
      </c>
      <c r="F49">
        <f t="shared" si="4"/>
        <v>7</v>
      </c>
      <c r="G49">
        <f>COUNTIF(G31:G45, "CSM")</f>
        <v>9</v>
      </c>
      <c r="H49">
        <f t="shared" ref="H49:P49" si="5">COUNTIF(H31:H45, "CSM")</f>
        <v>8</v>
      </c>
      <c r="I49">
        <f t="shared" si="5"/>
        <v>13</v>
      </c>
      <c r="J49">
        <f t="shared" si="5"/>
        <v>8</v>
      </c>
      <c r="K49">
        <f t="shared" si="5"/>
        <v>11</v>
      </c>
      <c r="L49">
        <f t="shared" si="5"/>
        <v>0</v>
      </c>
    </row>
    <row r="50" spans="2:12">
      <c r="B50" t="s">
        <v>245</v>
      </c>
      <c r="C50">
        <f t="shared" ref="C50" si="6" xml:space="preserve"> COUNTIF(C31:C45, "VA")</f>
        <v>0</v>
      </c>
      <c r="D50">
        <f t="shared" ref="D50:F50" si="7" xml:space="preserve"> COUNTIF(D31:D45, "VA")</f>
        <v>8</v>
      </c>
      <c r="E50">
        <f t="shared" si="7"/>
        <v>0</v>
      </c>
      <c r="F50">
        <f t="shared" si="7"/>
        <v>8</v>
      </c>
      <c r="G50">
        <f>COUNTIF(G31:G45, "VA")</f>
        <v>0</v>
      </c>
      <c r="H50">
        <f t="shared" ref="H50:P50" si="8" xml:space="preserve"> COUNTIF(H31:H45, "VA")</f>
        <v>7</v>
      </c>
      <c r="I50">
        <f t="shared" si="8"/>
        <v>0</v>
      </c>
      <c r="J50">
        <f t="shared" si="8"/>
        <v>7</v>
      </c>
      <c r="K50">
        <f t="shared" si="8"/>
        <v>0</v>
      </c>
      <c r="L50">
        <f t="shared" si="8"/>
        <v>0</v>
      </c>
    </row>
    <row r="51" spans="2:12">
      <c r="B51" t="s">
        <v>244</v>
      </c>
      <c r="C51">
        <f t="shared" ref="C51" si="9">COUNTIF(C31:C45, "Other")</f>
        <v>15</v>
      </c>
      <c r="D51">
        <f t="shared" ref="D51:F51" si="10">COUNTIF(D31:D45, "Other")</f>
        <v>0</v>
      </c>
      <c r="E51">
        <f t="shared" si="10"/>
        <v>3</v>
      </c>
      <c r="F51">
        <f t="shared" si="10"/>
        <v>0</v>
      </c>
      <c r="G51">
        <f>COUNTIF(G31:G45, "Other")</f>
        <v>6</v>
      </c>
      <c r="H51">
        <f t="shared" ref="H51:P51" si="11">COUNTIF(H31:H45, "Other")</f>
        <v>0</v>
      </c>
      <c r="I51">
        <f t="shared" si="11"/>
        <v>2</v>
      </c>
      <c r="J51">
        <f t="shared" si="11"/>
        <v>0</v>
      </c>
      <c r="K51">
        <f t="shared" si="11"/>
        <v>4</v>
      </c>
      <c r="L51">
        <f t="shared" si="11"/>
        <v>15</v>
      </c>
    </row>
    <row r="52" spans="2:12">
      <c r="B52" t="s">
        <v>263</v>
      </c>
      <c r="C52">
        <v>0</v>
      </c>
      <c r="D52">
        <v>2</v>
      </c>
      <c r="E52">
        <v>3</v>
      </c>
      <c r="F52">
        <v>2</v>
      </c>
      <c r="G52">
        <v>3</v>
      </c>
      <c r="H52">
        <v>2</v>
      </c>
      <c r="I52">
        <v>4</v>
      </c>
      <c r="J52">
        <v>2</v>
      </c>
      <c r="K52">
        <v>3</v>
      </c>
      <c r="L52">
        <v>0</v>
      </c>
    </row>
    <row r="53" spans="2:12">
      <c r="B53" t="s">
        <v>264</v>
      </c>
      <c r="C53">
        <v>0</v>
      </c>
      <c r="D53">
        <v>2</v>
      </c>
      <c r="E53">
        <v>0</v>
      </c>
      <c r="F53">
        <v>2</v>
      </c>
      <c r="G53">
        <v>0</v>
      </c>
      <c r="H53">
        <v>2</v>
      </c>
      <c r="I53">
        <v>0</v>
      </c>
      <c r="J53">
        <v>2</v>
      </c>
      <c r="K53">
        <v>0</v>
      </c>
      <c r="L5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Buckhold, Fred</dc:creator>
  <cp:keywords/>
  <dc:description/>
  <cp:lastModifiedBy/>
  <cp:revision/>
  <dcterms:created xsi:type="dcterms:W3CDTF">2026-01-10T17:35:01Z</dcterms:created>
  <dcterms:modified xsi:type="dcterms:W3CDTF">2026-02-12T12:09:20Z</dcterms:modified>
  <cp:category/>
  <cp:contentStatus/>
</cp:coreProperties>
</file>